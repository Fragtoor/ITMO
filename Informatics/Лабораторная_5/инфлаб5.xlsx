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Информатика\Лабораторная_5\"/>
    </mc:Choice>
  </mc:AlternateContent>
  <xr:revisionPtr revIDLastSave="0" documentId="13_ncr:1_{11B86773-C3B6-4D5E-8AAD-4DAD3BA68826}" xr6:coauthVersionLast="47" xr6:coauthVersionMax="47" xr10:uidLastSave="{00000000-0000-0000-0000-000000000000}"/>
  <bookViews>
    <workbookView xWindow="-108" yWindow="-108" windowWidth="23256" windowHeight="12456" activeTab="1" xr2:uid="{679653C4-459C-466D-B3CF-24785D2105F5}"/>
  </bookViews>
  <sheets>
    <sheet name="Комментарии" sheetId="1" r:id="rId1"/>
    <sheet name="Основное" sheetId="2" r:id="rId2"/>
    <sheet name="двоичные код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5" i="2"/>
  <c r="G5" i="2" s="1"/>
  <c r="A10" i="3"/>
  <c r="A9" i="3"/>
  <c r="A8" i="3"/>
  <c r="A7" i="3"/>
  <c r="A6" i="3"/>
  <c r="A5" i="3"/>
  <c r="A4" i="3"/>
  <c r="A3" i="3"/>
  <c r="A2" i="3"/>
  <c r="A1" i="3"/>
  <c r="A16" i="3"/>
  <c r="A15" i="3"/>
  <c r="A14" i="3"/>
  <c r="A13" i="3"/>
  <c r="A12" i="3"/>
  <c r="A11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U68" i="2"/>
  <c r="P68" i="2"/>
  <c r="K68" i="2"/>
  <c r="U67" i="2"/>
  <c r="P67" i="2"/>
  <c r="K67" i="2"/>
  <c r="U60" i="2"/>
  <c r="P60" i="2"/>
  <c r="K60" i="2"/>
  <c r="U59" i="2"/>
  <c r="P59" i="2"/>
  <c r="K59" i="2"/>
  <c r="U52" i="2"/>
  <c r="P52" i="2"/>
  <c r="K52" i="2"/>
  <c r="U51" i="2"/>
  <c r="P51" i="2"/>
  <c r="K51" i="2"/>
  <c r="U44" i="2"/>
  <c r="P44" i="2"/>
  <c r="K44" i="2"/>
  <c r="U43" i="2"/>
  <c r="P43" i="2"/>
  <c r="K43" i="2"/>
  <c r="U36" i="2"/>
  <c r="P36" i="2"/>
  <c r="K36" i="2"/>
  <c r="U35" i="2"/>
  <c r="P35" i="2"/>
  <c r="K35" i="2"/>
  <c r="U28" i="2"/>
  <c r="P28" i="2"/>
  <c r="K28" i="2"/>
  <c r="U27" i="2"/>
  <c r="P27" i="2"/>
  <c r="K27" i="2"/>
  <c r="U20" i="2"/>
  <c r="P20" i="2"/>
  <c r="K20" i="2"/>
  <c r="U19" i="2"/>
  <c r="P19" i="2"/>
  <c r="K19" i="2"/>
  <c r="C3" i="2"/>
  <c r="AJ1" i="1"/>
  <c r="AK1" i="1" s="1"/>
  <c r="AG59" i="2" l="1"/>
  <c r="C11" i="2"/>
  <c r="X11" i="2" s="1"/>
  <c r="Y5" i="2"/>
  <c r="W5" i="2"/>
  <c r="V5" i="2"/>
  <c r="Q5" i="2"/>
  <c r="J5" i="2"/>
  <c r="I5" i="2"/>
  <c r="O5" i="2"/>
  <c r="N5" i="2"/>
  <c r="M5" i="2"/>
  <c r="L5" i="2"/>
  <c r="X5" i="2"/>
  <c r="T5" i="2"/>
  <c r="S5" i="2"/>
  <c r="R5" i="2"/>
  <c r="H5" i="2"/>
  <c r="AG19" i="2"/>
  <c r="C9" i="2"/>
  <c r="Q9" i="2" s="1"/>
  <c r="C6" i="2"/>
  <c r="C7" i="2"/>
  <c r="C8" i="2"/>
  <c r="AL1" i="1"/>
  <c r="AM1" i="1" s="1"/>
  <c r="M59" i="2" l="1"/>
  <c r="M19" i="2"/>
  <c r="R8" i="2"/>
  <c r="O8" i="2"/>
  <c r="M8" i="2"/>
  <c r="L8" i="2"/>
  <c r="G8" i="2"/>
  <c r="Y8" i="2"/>
  <c r="X8" i="2"/>
  <c r="W8" i="2"/>
  <c r="Q8" i="2"/>
  <c r="C10" i="2"/>
  <c r="X10" i="2" s="1"/>
  <c r="N8" i="2"/>
  <c r="J8" i="2"/>
  <c r="S8" i="2"/>
  <c r="V8" i="2"/>
  <c r="C14" i="2"/>
  <c r="T8" i="2"/>
  <c r="I8" i="2"/>
  <c r="H8" i="2"/>
  <c r="R59" i="2"/>
  <c r="R19" i="2"/>
  <c r="S19" i="2"/>
  <c r="S59" i="2"/>
  <c r="X59" i="2"/>
  <c r="X19" i="2"/>
  <c r="N59" i="2"/>
  <c r="N19" i="2"/>
  <c r="O59" i="2"/>
  <c r="O19" i="2"/>
  <c r="H19" i="2"/>
  <c r="H59" i="2"/>
  <c r="J19" i="2"/>
  <c r="J59" i="2"/>
  <c r="Q19" i="2"/>
  <c r="Q59" i="2"/>
  <c r="T19" i="2"/>
  <c r="T59" i="2"/>
  <c r="V59" i="2"/>
  <c r="V19" i="2"/>
  <c r="W19" i="2"/>
  <c r="W59" i="2"/>
  <c r="G19" i="2"/>
  <c r="G59" i="2"/>
  <c r="Y59" i="2"/>
  <c r="Y19" i="2"/>
  <c r="H11" i="2"/>
  <c r="G11" i="2"/>
  <c r="V11" i="2"/>
  <c r="AG36" i="2"/>
  <c r="T11" i="2"/>
  <c r="S11" i="2"/>
  <c r="R11" i="2"/>
  <c r="O11" i="2"/>
  <c r="N11" i="2"/>
  <c r="Q11" i="2"/>
  <c r="AG43" i="2"/>
  <c r="Y11" i="2"/>
  <c r="W11" i="2"/>
  <c r="M11" i="2"/>
  <c r="L11" i="2"/>
  <c r="J11" i="2"/>
  <c r="I11" i="2"/>
  <c r="I19" i="2"/>
  <c r="I59" i="2"/>
  <c r="AO1" i="1"/>
  <c r="AP1" i="1" s="1"/>
  <c r="H6" i="2"/>
  <c r="V6" i="2"/>
  <c r="AG35" i="2"/>
  <c r="T6" i="2"/>
  <c r="S6" i="2"/>
  <c r="N6" i="2"/>
  <c r="R6" i="2"/>
  <c r="AG27" i="2"/>
  <c r="O6" i="2"/>
  <c r="Q6" i="2"/>
  <c r="X6" i="2"/>
  <c r="W6" i="2"/>
  <c r="M6" i="2"/>
  <c r="L6" i="2"/>
  <c r="J6" i="2"/>
  <c r="G6" i="2"/>
  <c r="C12" i="2"/>
  <c r="Y6" i="2"/>
  <c r="I6" i="2"/>
  <c r="AG20" i="2"/>
  <c r="W9" i="2"/>
  <c r="V9" i="2"/>
  <c r="T9" i="2"/>
  <c r="R9" i="2"/>
  <c r="L9" i="2"/>
  <c r="J9" i="2"/>
  <c r="I9" i="2"/>
  <c r="H9" i="2"/>
  <c r="G9" i="2"/>
  <c r="S9" i="2"/>
  <c r="O9" i="2"/>
  <c r="N9" i="2"/>
  <c r="M9" i="2"/>
  <c r="Y9" i="2"/>
  <c r="X9" i="2"/>
  <c r="C15" i="2"/>
  <c r="L19" i="2"/>
  <c r="L59" i="2"/>
  <c r="M7" i="2"/>
  <c r="J7" i="2"/>
  <c r="H7" i="2"/>
  <c r="G7" i="2"/>
  <c r="Y7" i="2"/>
  <c r="X7" i="2"/>
  <c r="T7" i="2"/>
  <c r="W7" i="2"/>
  <c r="AG28" i="2"/>
  <c r="S7" i="2"/>
  <c r="V7" i="2"/>
  <c r="I7" i="2"/>
  <c r="AG68" i="2"/>
  <c r="C13" i="2"/>
  <c r="L7" i="2"/>
  <c r="R7" i="2"/>
  <c r="O7" i="2"/>
  <c r="Q7" i="2"/>
  <c r="N7" i="2"/>
  <c r="T27" i="2" l="1"/>
  <c r="T35" i="2"/>
  <c r="T20" i="2"/>
  <c r="T43" i="2"/>
  <c r="T36" i="2"/>
  <c r="G43" i="2"/>
  <c r="G36" i="2"/>
  <c r="L68" i="2"/>
  <c r="L28" i="2"/>
  <c r="R13" i="2"/>
  <c r="R52" i="2" s="1"/>
  <c r="Q13" i="2"/>
  <c r="Q52" i="2" s="1"/>
  <c r="O13" i="2"/>
  <c r="O52" i="2" s="1"/>
  <c r="M13" i="2"/>
  <c r="M52" i="2" s="1"/>
  <c r="L13" i="2"/>
  <c r="L52" i="2" s="1"/>
  <c r="G13" i="2"/>
  <c r="G52" i="2" s="1"/>
  <c r="X13" i="2"/>
  <c r="X52" i="2" s="1"/>
  <c r="Y13" i="2"/>
  <c r="Y52" i="2" s="1"/>
  <c r="W13" i="2"/>
  <c r="W52" i="2" s="1"/>
  <c r="V13" i="2"/>
  <c r="V52" i="2" s="1"/>
  <c r="T13" i="2"/>
  <c r="T52" i="2" s="1"/>
  <c r="S13" i="2"/>
  <c r="S52" i="2" s="1"/>
  <c r="AG52" i="2"/>
  <c r="N13" i="2"/>
  <c r="N52" i="2" s="1"/>
  <c r="J13" i="2"/>
  <c r="J52" i="2" s="1"/>
  <c r="I13" i="2"/>
  <c r="I52" i="2" s="1"/>
  <c r="H13" i="2"/>
  <c r="H52" i="2" s="1"/>
  <c r="J43" i="2"/>
  <c r="J36" i="2"/>
  <c r="L20" i="2"/>
  <c r="L27" i="2"/>
  <c r="L35" i="2"/>
  <c r="M35" i="2"/>
  <c r="M27" i="2"/>
  <c r="M20" i="2"/>
  <c r="W43" i="2"/>
  <c r="W36" i="2"/>
  <c r="W68" i="2"/>
  <c r="W28" i="2"/>
  <c r="W35" i="2"/>
  <c r="W20" i="2"/>
  <c r="W27" i="2"/>
  <c r="X36" i="2"/>
  <c r="X43" i="2"/>
  <c r="H27" i="2"/>
  <c r="H20" i="2"/>
  <c r="H35" i="2"/>
  <c r="G27" i="2"/>
  <c r="G20" i="2"/>
  <c r="G35" i="2"/>
  <c r="S68" i="2"/>
  <c r="S28" i="2"/>
  <c r="X35" i="2"/>
  <c r="X27" i="2"/>
  <c r="X20" i="2"/>
  <c r="Y36" i="2"/>
  <c r="Y43" i="2"/>
  <c r="I27" i="2"/>
  <c r="I20" i="2"/>
  <c r="I35" i="2"/>
  <c r="M36" i="2"/>
  <c r="M43" i="2"/>
  <c r="T68" i="2"/>
  <c r="T28" i="2"/>
  <c r="X28" i="2"/>
  <c r="X68" i="2"/>
  <c r="Q20" i="2"/>
  <c r="Q27" i="2"/>
  <c r="Q35" i="2"/>
  <c r="N28" i="2"/>
  <c r="N68" i="2"/>
  <c r="AG38" i="2"/>
  <c r="Y15" i="2"/>
  <c r="Y67" i="2" s="1"/>
  <c r="X15" i="2"/>
  <c r="X67" i="2" s="1"/>
  <c r="W15" i="2"/>
  <c r="W67" i="2" s="1"/>
  <c r="V15" i="2"/>
  <c r="V67" i="2" s="1"/>
  <c r="T15" i="2"/>
  <c r="T67" i="2" s="1"/>
  <c r="Q15" i="2"/>
  <c r="Q67" i="2" s="1"/>
  <c r="I15" i="2"/>
  <c r="I67" i="2" s="1"/>
  <c r="O15" i="2"/>
  <c r="O67" i="2" s="1"/>
  <c r="N15" i="2"/>
  <c r="N67" i="2" s="1"/>
  <c r="M15" i="2"/>
  <c r="M67" i="2" s="1"/>
  <c r="J15" i="2"/>
  <c r="J67" i="2" s="1"/>
  <c r="L15" i="2"/>
  <c r="L67" i="2" s="1"/>
  <c r="S15" i="2"/>
  <c r="S67" i="2" s="1"/>
  <c r="R15" i="2"/>
  <c r="R67" i="2" s="1"/>
  <c r="AG67" i="2"/>
  <c r="H15" i="2"/>
  <c r="H67" i="2" s="1"/>
  <c r="G15" i="2"/>
  <c r="G67" i="2" s="1"/>
  <c r="M12" i="2"/>
  <c r="AG60" i="2"/>
  <c r="L12" i="2"/>
  <c r="J12" i="2"/>
  <c r="H12" i="2"/>
  <c r="G12" i="2"/>
  <c r="Y12" i="2"/>
  <c r="S12" i="2"/>
  <c r="X12" i="2"/>
  <c r="W12" i="2"/>
  <c r="T12" i="2"/>
  <c r="V12" i="2"/>
  <c r="R12" i="2"/>
  <c r="Q12" i="2"/>
  <c r="O12" i="2"/>
  <c r="N12" i="2"/>
  <c r="I12" i="2"/>
  <c r="AG51" i="2"/>
  <c r="AG44" i="2"/>
  <c r="L43" i="2"/>
  <c r="L36" i="2"/>
  <c r="Q36" i="2"/>
  <c r="Q43" i="2"/>
  <c r="H43" i="2"/>
  <c r="H36" i="2"/>
  <c r="I36" i="2"/>
  <c r="I43" i="2"/>
  <c r="Y10" i="2"/>
  <c r="W10" i="2"/>
  <c r="V10" i="2"/>
  <c r="Q10" i="2"/>
  <c r="O10" i="2"/>
  <c r="N10" i="2"/>
  <c r="M10" i="2"/>
  <c r="J10" i="2"/>
  <c r="I10" i="2"/>
  <c r="L10" i="2"/>
  <c r="T10" i="2"/>
  <c r="S10" i="2"/>
  <c r="R10" i="2"/>
  <c r="H10" i="2"/>
  <c r="G10" i="2"/>
  <c r="C16" i="2"/>
  <c r="N43" i="2"/>
  <c r="N36" i="2"/>
  <c r="AG22" i="2"/>
  <c r="Q68" i="2"/>
  <c r="Q28" i="2"/>
  <c r="O68" i="2"/>
  <c r="O28" i="2"/>
  <c r="Y35" i="2"/>
  <c r="Y27" i="2"/>
  <c r="Y20" i="2"/>
  <c r="Y23" i="2" s="1"/>
  <c r="V28" i="2"/>
  <c r="V68" i="2"/>
  <c r="Y28" i="2"/>
  <c r="Y68" i="2"/>
  <c r="G28" i="2"/>
  <c r="G68" i="2"/>
  <c r="O36" i="2"/>
  <c r="O43" i="2"/>
  <c r="V35" i="2"/>
  <c r="V20" i="2"/>
  <c r="V27" i="2"/>
  <c r="AQ1" i="1"/>
  <c r="I28" i="2"/>
  <c r="I68" i="2"/>
  <c r="J35" i="2"/>
  <c r="J20" i="2"/>
  <c r="J27" i="2"/>
  <c r="O35" i="2"/>
  <c r="O27" i="2"/>
  <c r="O20" i="2"/>
  <c r="AG30" i="2"/>
  <c r="H28" i="2"/>
  <c r="H68" i="2"/>
  <c r="R27" i="2"/>
  <c r="R35" i="2"/>
  <c r="R20" i="2"/>
  <c r="J68" i="2"/>
  <c r="J28" i="2"/>
  <c r="N27" i="2"/>
  <c r="N35" i="2"/>
  <c r="N20" i="2"/>
  <c r="R43" i="2"/>
  <c r="R36" i="2"/>
  <c r="V43" i="2"/>
  <c r="V36" i="2"/>
  <c r="W14" i="2"/>
  <c r="V14" i="2"/>
  <c r="T14" i="2"/>
  <c r="R14" i="2"/>
  <c r="Q14" i="2"/>
  <c r="O14" i="2"/>
  <c r="L14" i="2"/>
  <c r="J14" i="2"/>
  <c r="I14" i="2"/>
  <c r="H14" i="2"/>
  <c r="G14" i="2"/>
  <c r="X14" i="2"/>
  <c r="S14" i="2"/>
  <c r="N14" i="2"/>
  <c r="M14" i="2"/>
  <c r="Y14" i="2"/>
  <c r="R28" i="2"/>
  <c r="R68" i="2"/>
  <c r="M28" i="2"/>
  <c r="M68" i="2"/>
  <c r="S20" i="2"/>
  <c r="S27" i="2"/>
  <c r="S35" i="2"/>
  <c r="S43" i="2"/>
  <c r="S36" i="2"/>
  <c r="Y22" i="2" l="1"/>
  <c r="X22" i="2"/>
  <c r="AG62" i="2"/>
  <c r="N51" i="2"/>
  <c r="N60" i="2"/>
  <c r="N44" i="2"/>
  <c r="H44" i="2"/>
  <c r="H60" i="2"/>
  <c r="H51" i="2"/>
  <c r="AG54" i="2"/>
  <c r="AG70" i="2"/>
  <c r="X23" i="2"/>
  <c r="O60" i="2"/>
  <c r="O51" i="2"/>
  <c r="O44" i="2"/>
  <c r="Q60" i="2"/>
  <c r="Q51" i="2"/>
  <c r="Q44" i="2"/>
  <c r="J44" i="2"/>
  <c r="J51" i="2"/>
  <c r="J60" i="2"/>
  <c r="I51" i="2"/>
  <c r="I60" i="2"/>
  <c r="I44" i="2"/>
  <c r="R51" i="2"/>
  <c r="R44" i="2"/>
  <c r="R60" i="2"/>
  <c r="H16" i="2"/>
  <c r="G16" i="2"/>
  <c r="Y16" i="2"/>
  <c r="X16" i="2"/>
  <c r="W16" i="2"/>
  <c r="V16" i="2"/>
  <c r="T16" i="2"/>
  <c r="S16" i="2"/>
  <c r="R16" i="2"/>
  <c r="O16" i="2"/>
  <c r="N16" i="2"/>
  <c r="Q16" i="2"/>
  <c r="J16" i="2"/>
  <c r="M16" i="2"/>
  <c r="L16" i="2"/>
  <c r="I16" i="2"/>
  <c r="V60" i="2"/>
  <c r="V44" i="2"/>
  <c r="V51" i="2"/>
  <c r="T51" i="2"/>
  <c r="T44" i="2"/>
  <c r="T60" i="2"/>
  <c r="G51" i="2"/>
  <c r="G44" i="2"/>
  <c r="G60" i="2"/>
  <c r="L44" i="2"/>
  <c r="L60" i="2"/>
  <c r="L51" i="2"/>
  <c r="W44" i="2"/>
  <c r="W60" i="2"/>
  <c r="W51" i="2"/>
  <c r="X60" i="2"/>
  <c r="X51" i="2"/>
  <c r="X44" i="2"/>
  <c r="AG46" i="2"/>
  <c r="Y39" i="2"/>
  <c r="X39" i="2" s="1"/>
  <c r="Y38" i="2"/>
  <c r="Y71" i="2"/>
  <c r="X70" i="2" s="1"/>
  <c r="Y70" i="2"/>
  <c r="S51" i="2"/>
  <c r="S44" i="2"/>
  <c r="S60" i="2"/>
  <c r="AR1" i="1"/>
  <c r="AT1" i="1" s="1"/>
  <c r="M60" i="2"/>
  <c r="M44" i="2"/>
  <c r="M51" i="2"/>
  <c r="Y31" i="2"/>
  <c r="X31" i="2" s="1"/>
  <c r="W31" i="2" s="1"/>
  <c r="Y30" i="2"/>
  <c r="Y51" i="2"/>
  <c r="Y44" i="2"/>
  <c r="Y47" i="2" s="1"/>
  <c r="Y60" i="2"/>
  <c r="X71" i="2" l="1"/>
  <c r="W70" i="2" s="1"/>
  <c r="X30" i="2"/>
  <c r="U31" i="2"/>
  <c r="V30" i="2"/>
  <c r="V31" i="2"/>
  <c r="X47" i="2"/>
  <c r="W46" i="2" s="1"/>
  <c r="X46" i="2"/>
  <c r="W39" i="2"/>
  <c r="W38" i="2"/>
  <c r="W30" i="2"/>
  <c r="W22" i="2"/>
  <c r="W23" i="2"/>
  <c r="AU1" i="1"/>
  <c r="AV1" i="1" s="1"/>
  <c r="Y62" i="2"/>
  <c r="Y63" i="2"/>
  <c r="X63" i="2" s="1"/>
  <c r="W63" i="2" s="1"/>
  <c r="Y54" i="2"/>
  <c r="Y55" i="2"/>
  <c r="X54" i="2" s="1"/>
  <c r="X38" i="2"/>
  <c r="Y46" i="2"/>
  <c r="W47" i="2" l="1"/>
  <c r="V47" i="2" s="1"/>
  <c r="W71" i="2"/>
  <c r="V70" i="2" s="1"/>
  <c r="X62" i="2"/>
  <c r="W62" i="2"/>
  <c r="V62" i="2"/>
  <c r="U63" i="2"/>
  <c r="V63" i="2"/>
  <c r="V22" i="2"/>
  <c r="U23" i="2"/>
  <c r="V23" i="2"/>
  <c r="U39" i="2"/>
  <c r="V38" i="2"/>
  <c r="V39" i="2"/>
  <c r="X55" i="2"/>
  <c r="AW1" i="1"/>
  <c r="T33" i="2"/>
  <c r="T30" i="2"/>
  <c r="T31" i="2"/>
  <c r="U71" i="2" l="1"/>
  <c r="T73" i="2" s="1"/>
  <c r="V71" i="2"/>
  <c r="V46" i="2"/>
  <c r="U47" i="2"/>
  <c r="T47" i="2" s="1"/>
  <c r="T25" i="2"/>
  <c r="T22" i="2"/>
  <c r="T23" i="2"/>
  <c r="S30" i="2"/>
  <c r="S31" i="2"/>
  <c r="T41" i="2"/>
  <c r="T39" i="2"/>
  <c r="T38" i="2"/>
  <c r="AY1" i="1"/>
  <c r="W54" i="2"/>
  <c r="W55" i="2"/>
  <c r="T65" i="2"/>
  <c r="T63" i="2"/>
  <c r="T62" i="2"/>
  <c r="T46" i="2" l="1"/>
  <c r="T49" i="2"/>
  <c r="T71" i="2"/>
  <c r="S70" i="2" s="1"/>
  <c r="T70" i="2"/>
  <c r="BA1" i="1"/>
  <c r="S47" i="2"/>
  <c r="S46" i="2"/>
  <c r="S38" i="2"/>
  <c r="S39" i="2"/>
  <c r="R31" i="2"/>
  <c r="R30" i="2"/>
  <c r="S62" i="2"/>
  <c r="S63" i="2"/>
  <c r="U55" i="2"/>
  <c r="V54" i="2"/>
  <c r="V55" i="2"/>
  <c r="AZ1" i="1"/>
  <c r="S23" i="2"/>
  <c r="S22" i="2"/>
  <c r="BB1" i="1" l="1"/>
  <c r="S71" i="2"/>
  <c r="R71" i="2" s="1"/>
  <c r="R47" i="2"/>
  <c r="R46" i="2"/>
  <c r="R22" i="2"/>
  <c r="R23" i="2"/>
  <c r="T57" i="2"/>
  <c r="T55" i="2"/>
  <c r="T54" i="2"/>
  <c r="R62" i="2"/>
  <c r="R63" i="2"/>
  <c r="Q30" i="2"/>
  <c r="O33" i="2" s="1"/>
  <c r="Q31" i="2"/>
  <c r="P31" i="2"/>
  <c r="R38" i="2"/>
  <c r="R39" i="2"/>
  <c r="R70" i="2" l="1"/>
  <c r="Q38" i="2"/>
  <c r="O41" i="2" s="1"/>
  <c r="Q39" i="2"/>
  <c r="P39" i="2"/>
  <c r="S55" i="2"/>
  <c r="S54" i="2"/>
  <c r="O30" i="2"/>
  <c r="O31" i="2"/>
  <c r="P71" i="2"/>
  <c r="Q71" i="2"/>
  <c r="Q70" i="2"/>
  <c r="P63" i="2"/>
  <c r="Q63" i="2"/>
  <c r="Q62" i="2"/>
  <c r="O65" i="2" s="1"/>
  <c r="Q23" i="2"/>
  <c r="P23" i="2"/>
  <c r="Q22" i="2"/>
  <c r="O25" i="2" s="1"/>
  <c r="Q47" i="2"/>
  <c r="P47" i="2"/>
  <c r="Q46" i="2"/>
  <c r="O49" i="2" s="1"/>
  <c r="O73" i="2" l="1"/>
  <c r="O71" i="2"/>
  <c r="O70" i="2"/>
  <c r="O39" i="2"/>
  <c r="O38" i="2"/>
  <c r="O62" i="2"/>
  <c r="O63" i="2"/>
  <c r="N30" i="2"/>
  <c r="N31" i="2"/>
  <c r="R55" i="2"/>
  <c r="R54" i="2"/>
  <c r="O46" i="2"/>
  <c r="O47" i="2"/>
  <c r="O22" i="2"/>
  <c r="O23" i="2"/>
  <c r="M31" i="2" l="1"/>
  <c r="M30" i="2"/>
  <c r="N22" i="2"/>
  <c r="N23" i="2"/>
  <c r="N46" i="2"/>
  <c r="N47" i="2"/>
  <c r="P55" i="2"/>
  <c r="Q55" i="2"/>
  <c r="Q54" i="2"/>
  <c r="O57" i="2" s="1"/>
  <c r="N63" i="2"/>
  <c r="N62" i="2"/>
  <c r="N38" i="2"/>
  <c r="N39" i="2"/>
  <c r="N70" i="2"/>
  <c r="N71" i="2"/>
  <c r="M71" i="2" l="1"/>
  <c r="M70" i="2"/>
  <c r="M38" i="2"/>
  <c r="M39" i="2"/>
  <c r="M62" i="2"/>
  <c r="M63" i="2"/>
  <c r="O54" i="2"/>
  <c r="O55" i="2"/>
  <c r="M47" i="2"/>
  <c r="M46" i="2"/>
  <c r="M22" i="2"/>
  <c r="M23" i="2"/>
  <c r="K31" i="2"/>
  <c r="L30" i="2"/>
  <c r="L31" i="2"/>
  <c r="N55" i="2" l="1"/>
  <c r="N54" i="2"/>
  <c r="L63" i="2"/>
  <c r="L62" i="2"/>
  <c r="K63" i="2"/>
  <c r="K23" i="2"/>
  <c r="L23" i="2"/>
  <c r="L22" i="2"/>
  <c r="L47" i="2"/>
  <c r="L46" i="2"/>
  <c r="K47" i="2"/>
  <c r="L38" i="2"/>
  <c r="L39" i="2"/>
  <c r="K39" i="2"/>
  <c r="J31" i="2"/>
  <c r="J30" i="2"/>
  <c r="L71" i="2"/>
  <c r="L70" i="2"/>
  <c r="K71" i="2"/>
  <c r="I31" i="2" l="1"/>
  <c r="I30" i="2"/>
  <c r="J63" i="2"/>
  <c r="J62" i="2"/>
  <c r="J71" i="2"/>
  <c r="J70" i="2"/>
  <c r="J46" i="2"/>
  <c r="J47" i="2"/>
  <c r="J22" i="2"/>
  <c r="J23" i="2"/>
  <c r="J38" i="2"/>
  <c r="J39" i="2"/>
  <c r="M55" i="2"/>
  <c r="M54" i="2"/>
  <c r="I47" i="2" l="1"/>
  <c r="I46" i="2"/>
  <c r="I39" i="2"/>
  <c r="I38" i="2"/>
  <c r="I22" i="2"/>
  <c r="I23" i="2"/>
  <c r="I63" i="2"/>
  <c r="I62" i="2"/>
  <c r="L55" i="2"/>
  <c r="L54" i="2"/>
  <c r="K55" i="2"/>
  <c r="I71" i="2"/>
  <c r="I70" i="2"/>
  <c r="H31" i="2"/>
  <c r="H30" i="2"/>
  <c r="G30" i="2" l="1"/>
  <c r="G31" i="2"/>
  <c r="J33" i="2" s="1"/>
  <c r="J55" i="2"/>
  <c r="J54" i="2"/>
  <c r="H23" i="2"/>
  <c r="H22" i="2"/>
  <c r="H71" i="2"/>
  <c r="H70" i="2"/>
  <c r="H62" i="2"/>
  <c r="H63" i="2"/>
  <c r="H38" i="2"/>
  <c r="H39" i="2"/>
  <c r="H47" i="2"/>
  <c r="H46" i="2"/>
  <c r="AD33" i="2" l="1"/>
  <c r="G70" i="2"/>
  <c r="G71" i="2"/>
  <c r="J73" i="2" s="1"/>
  <c r="G23" i="2"/>
  <c r="J25" i="2" s="1"/>
  <c r="G22" i="2"/>
  <c r="G46" i="2"/>
  <c r="G47" i="2"/>
  <c r="J49" i="2" s="1"/>
  <c r="G63" i="2"/>
  <c r="J65" i="2" s="1"/>
  <c r="G62" i="2"/>
  <c r="I54" i="2"/>
  <c r="I55" i="2"/>
  <c r="AB33" i="2"/>
  <c r="Y33" i="2"/>
  <c r="AA30" i="2"/>
  <c r="AI27" i="2" s="1"/>
  <c r="G38" i="2"/>
  <c r="G39" i="2"/>
  <c r="J41" i="2" s="1"/>
  <c r="AD49" i="2" l="1"/>
  <c r="AD65" i="2"/>
  <c r="AD41" i="2"/>
  <c r="AD73" i="2"/>
  <c r="AD25" i="2"/>
  <c r="AA38" i="2"/>
  <c r="AI35" i="2" s="1"/>
  <c r="AB41" i="2"/>
  <c r="Y41" i="2"/>
  <c r="H54" i="2"/>
  <c r="H55" i="2"/>
  <c r="AA62" i="2"/>
  <c r="AI59" i="2" s="1"/>
  <c r="Y65" i="2"/>
  <c r="AB65" i="2"/>
  <c r="AB49" i="2"/>
  <c r="Y49" i="2"/>
  <c r="AA46" i="2"/>
  <c r="AI43" i="2" s="1"/>
  <c r="AB25" i="2"/>
  <c r="Y25" i="2"/>
  <c r="AA22" i="2"/>
  <c r="AI19" i="2" s="1"/>
  <c r="AA70" i="2"/>
  <c r="AI67" i="2" s="1"/>
  <c r="AB73" i="2"/>
  <c r="Y73" i="2"/>
  <c r="G55" i="2" l="1"/>
  <c r="J57" i="2" s="1"/>
  <c r="G54" i="2"/>
  <c r="AD57" i="2" l="1"/>
  <c r="Y57" i="2"/>
  <c r="AA54" i="2"/>
  <c r="AI51" i="2" s="1"/>
  <c r="AB57" i="2"/>
</calcChain>
</file>

<file path=xl/sharedStrings.xml><?xml version="1.0" encoding="utf-8"?>
<sst xmlns="http://schemas.openxmlformats.org/spreadsheetml/2006/main" count="392" uniqueCount="81">
  <si>
    <t>.</t>
  </si>
  <si>
    <t>A=</t>
  </si>
  <si>
    <t>C=</t>
  </si>
  <si>
    <t>X1=</t>
  </si>
  <si>
    <t>A =</t>
  </si>
  <si>
    <t>B1=</t>
  </si>
  <si>
    <t>X2=</t>
  </si>
  <si>
    <t>C =</t>
  </si>
  <si>
    <t>B2=</t>
  </si>
  <si>
    <t>X3=</t>
  </si>
  <si>
    <t>A + C =</t>
  </si>
  <si>
    <t>B3=</t>
  </si>
  <si>
    <t>X4=</t>
  </si>
  <si>
    <t>A + C + C =</t>
  </si>
  <si>
    <t>B4=</t>
  </si>
  <si>
    <t>X5=</t>
  </si>
  <si>
    <t>C — A =</t>
  </si>
  <si>
    <t>B5=</t>
  </si>
  <si>
    <t>X6=</t>
  </si>
  <si>
    <t>65536 — X4 =</t>
  </si>
  <si>
    <t>B6=</t>
  </si>
  <si>
    <t>X7=</t>
  </si>
  <si>
    <t>-X1 =</t>
  </si>
  <si>
    <t>B7=</t>
  </si>
  <si>
    <t>-B1=</t>
  </si>
  <si>
    <t>X8=</t>
  </si>
  <si>
    <t>-X2 =</t>
  </si>
  <si>
    <t>B8=</t>
  </si>
  <si>
    <t>-B2=</t>
  </si>
  <si>
    <t>X9=</t>
  </si>
  <si>
    <t>-X3=</t>
  </si>
  <si>
    <t>B9=</t>
  </si>
  <si>
    <t>-B3=</t>
  </si>
  <si>
    <t>X10=</t>
  </si>
  <si>
    <t>-X4=</t>
  </si>
  <si>
    <t>B10=</t>
  </si>
  <si>
    <t>-B4=</t>
  </si>
  <si>
    <t>X11=</t>
  </si>
  <si>
    <t>-X5=</t>
  </si>
  <si>
    <t>B11=</t>
  </si>
  <si>
    <t>-B5=</t>
  </si>
  <si>
    <t>X12=</t>
  </si>
  <si>
    <t>-X6=</t>
  </si>
  <si>
    <t>B12=</t>
  </si>
  <si>
    <t>-B6=</t>
  </si>
  <si>
    <r>
      <t>B1(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</si>
  <si>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X1(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</si>
  <si>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t>+</t>
  </si>
  <si>
    <r>
      <t>B2(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</si>
  <si>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X2(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</si>
  <si>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t>………</t>
  </si>
  <si>
    <t>…</t>
  </si>
  <si>
    <t>=</t>
  </si>
  <si>
    <t>……..</t>
  </si>
  <si>
    <t>……</t>
  </si>
  <si>
    <t>……………..</t>
  </si>
  <si>
    <t>(₂)=</t>
  </si>
  <si>
    <t>(₁₀)</t>
  </si>
  <si>
    <t>CF =</t>
  </si>
  <si>
    <t>PF=</t>
  </si>
  <si>
    <t>AF=</t>
  </si>
  <si>
    <t>ZF=</t>
  </si>
  <si>
    <t>SF=</t>
  </si>
  <si>
    <t>OF=</t>
  </si>
  <si>
    <r>
      <t>B3(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</si>
  <si>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X3(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</si>
  <si>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r>
      <t>B7(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</si>
  <si>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X7(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</si>
  <si>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r>
      <t>B8(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</si>
  <si>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X8(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</si>
  <si>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r>
      <t>B9(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</si>
  <si>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X9(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</si>
  <si>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r>
      <t>B11(</t>
    </r>
    <r>
      <rPr>
        <sz val="10"/>
        <color theme="1"/>
        <rFont val="Liberation Sans1"/>
        <charset val="204"/>
      </rPr>
      <t>₂</t>
    </r>
    <r>
      <rPr>
        <sz val="10"/>
        <color theme="1"/>
        <rFont val="Liberation Sans"/>
        <family val="2"/>
        <charset val="204"/>
      </rPr>
      <t>)</t>
    </r>
  </si>
  <si>
    <r>
      <t>X11(</t>
    </r>
    <r>
      <rPr>
        <sz val="10"/>
        <color theme="1"/>
        <rFont val="Liberation Sans1"/>
        <charset val="204"/>
      </rPr>
      <t>₁₀</t>
    </r>
    <r>
      <rPr>
        <sz val="10"/>
        <color theme="1"/>
        <rFont val="Liberation Sans"/>
        <family val="2"/>
        <charset val="204"/>
      </rPr>
      <t>)</t>
    </r>
  </si>
  <si>
    <t>При сложении положительного и отрицательного слагаемых
получено отрицательное число.
Результат выполнения операции верный и корректный,
совпадает с суммой десятичных эквивалентов.</t>
  </si>
  <si>
    <t>При сложении положительного и отрицательного слагаемых
получено положительное число.
Перенос из старшего разряда не учитывается.
Результат выполнения операции верный и корректный,
совпадает с суммой десятичных эквивалентов.</t>
  </si>
  <si>
    <t>При сложении двух отрицательных слагаемых
получено отрицательное число.
Перенос из старшего разряда не учитывается.
Результат выполнения операции верный и корректный,
совпадает с суммой десятичных эквивалентов.</t>
  </si>
  <si>
    <t>При сложении двух отрицательных слагаемых
получено положительное число. ПЕРЕПОЛНЕНИЕ!
Результат выполнения операции некорректный,
не совпадает с суммой десятичных эквивалентов.</t>
  </si>
  <si>
    <t>При сложении двух положительных слагаемых
получено положительное число.
Результат выполнения операции верный и корректный, 
совпадает с суммой десятичных эквивалентов.</t>
  </si>
  <si>
    <t>При сложении двух положительных слагаемых 
получен отрицательный результат. ПЕРЕПОЛНЕНИЕ!
Результат выполнения операции некорректный,
не совпадает с суммой десятичных эквивалентов.</t>
  </si>
  <si>
    <t>[-2^15;2^15-1]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</si>
</sst>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  <family val="2"/>
      <charset val="204"/>
    </font>
    <font>
      <sz val="10"/>
      <color theme="1"/>
      <name val="Liberation Sans"/>
      <family val="2"/>
      <charset val="204"/>
    </font>
    <font>
      <b/>
      <sz val="10"/>
      <color theme="1"/>
      <name val="Liberation Sans"/>
      <family val="2"/>
      <charset val="204"/>
    </font>
    <font>
      <b/>
      <sz val="10"/>
      <color rgb="FFFFFFFF"/>
      <name val="Liberation Sans"/>
      <family val="2"/>
      <charset val="204"/>
    </font>
    <font>
      <sz val="10"/>
      <color rgb="FFCC0000"/>
      <name val="Liberation Sans"/>
      <family val="2"/>
      <charset val="204"/>
    </font>
    <font>
      <i/>
      <sz val="10"/>
      <color rgb="FF808080"/>
      <name val="Liberation Sans"/>
      <family val="2"/>
      <charset val="204"/>
    </font>
    <font>
      <sz val="10"/>
      <color rgb="FF006600"/>
      <name val="Liberation Sans"/>
      <family val="2"/>
      <charset val="204"/>
    </font>
    <font>
      <b/>
      <sz val="24"/>
      <color theme="1"/>
      <name val="Liberation Sans"/>
      <family val="2"/>
      <charset val="204"/>
    </font>
    <font>
      <b/>
      <sz val="18"/>
      <color theme="1"/>
      <name val="Liberation Sans"/>
      <family val="2"/>
      <charset val="204"/>
    </font>
    <font>
      <b/>
      <sz val="12"/>
      <color theme="1"/>
      <name val="Liberation Sans"/>
      <family val="2"/>
      <charset val="204"/>
    </font>
    <font>
      <u/>
      <sz val="10"/>
      <color rgb="FF0000EE"/>
      <name val="Liberation Sans"/>
      <family val="2"/>
      <charset val="204"/>
    </font>
    <font>
      <sz val="10"/>
      <color rgb="FF996600"/>
      <name val="Liberation Sans"/>
      <family val="2"/>
      <charset val="204"/>
    </font>
    <font>
      <sz val="10"/>
      <color rgb="FF333333"/>
      <name val="Liberation Sans"/>
      <family val="2"/>
      <charset val="204"/>
    </font>
    <font>
      <b/>
      <i/>
      <u/>
      <sz val="10"/>
      <color theme="1"/>
      <name val="Liberation Sans"/>
      <family val="2"/>
      <charset val="204"/>
    </font>
    <font>
      <sz val="10"/>
      <color theme="1"/>
      <name val="Liberation Serif"/>
      <family val="1"/>
      <charset val="204"/>
    </font>
    <font>
      <sz val="10"/>
      <color theme="1"/>
      <name val="Liberation Mono"/>
      <family val="3"/>
      <charset val="204"/>
    </font>
    <font>
      <sz val="10"/>
      <color theme="1"/>
      <name val="Liberation Sans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wrapText="1"/>
    </xf>
    <xf numFmtId="0" fontId="1" fillId="0" borderId="0" xfId="16"/>
    <xf numFmtId="0" fontId="1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 wrapText="1"/>
    </xf>
  </cellXfs>
  <cellStyles count="21">
    <cellStyle name="Accent" xfId="1" xr:uid="{F4B470A0-5F32-4DAF-9A92-6DA6DF0DC43D}"/>
    <cellStyle name="Accent 1" xfId="2" xr:uid="{403C158F-6649-41E7-9804-17D337D936BB}"/>
    <cellStyle name="Accent 2" xfId="3" xr:uid="{E1ABD290-D6E9-4CF9-98AD-3A1D21A377C2}"/>
    <cellStyle name="Accent 3" xfId="4" xr:uid="{BB663ADE-E23B-4239-B63E-1E1BF09EEEC7}"/>
    <cellStyle name="Bad" xfId="5" xr:uid="{F0326549-1EAF-4A74-979E-D6BDCF91BC61}"/>
    <cellStyle name="Default" xfId="6" xr:uid="{4F4F1E6A-A3F9-4077-8FCA-5AE6E663918F}"/>
    <cellStyle name="Error" xfId="7" xr:uid="{40D72553-516D-4D74-B29E-53D9FD4A5F88}"/>
    <cellStyle name="Footnote" xfId="8" xr:uid="{949E5ED8-8CAE-4A55-A1DD-2B558C4F4C59}"/>
    <cellStyle name="Good" xfId="9" xr:uid="{852DCCCB-DC9F-4AAB-ACC9-20E468421D83}"/>
    <cellStyle name="Heading" xfId="10" xr:uid="{054B75B5-4878-49F3-9E37-4ED8909A70B0}"/>
    <cellStyle name="Heading 1" xfId="11" xr:uid="{A1E78014-B10E-420A-A9E2-B7E9C520B3ED}"/>
    <cellStyle name="Heading 2" xfId="12" xr:uid="{9AB0A8B8-CB6D-4117-8BCB-9C5CD9F99938}"/>
    <cellStyle name="Hyperlink" xfId="13" xr:uid="{29DDEA9C-0C85-4938-83A7-37EF918C9CF1}"/>
    <cellStyle name="Neutral" xfId="14" xr:uid="{5F82C725-BF69-4276-A5EB-A5A1EA6F16B5}"/>
    <cellStyle name="Note" xfId="15" xr:uid="{7F90CECD-FE65-4470-AEB5-DBAE4AC63B3D}"/>
    <cellStyle name="o" xfId="16" xr:uid="{47CF8109-8EF4-4396-A4D2-0657A191130C}"/>
    <cellStyle name="Result" xfId="17" xr:uid="{517D1318-F8D7-486B-BAC0-271CBA6477BE}"/>
    <cellStyle name="Status" xfId="18" xr:uid="{E57D0EBA-604D-4C5F-B366-5AE64D01E09A}"/>
    <cellStyle name="Text" xfId="19" xr:uid="{C108F716-559D-4732-8C62-01909A6DE0AE}"/>
    <cellStyle name="Warning" xfId="20" xr:uid="{BB715F8B-4BC2-439F-8F51-6C1136AE6490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3631-E0CC-4D96-AA34-AD8053AB7622}">
  <dimension ref="A1:BB20"/>
  <sheetViews>
    <sheetView zoomScale="88" workbookViewId="0">
      <selection activeCell="R2" sqref="R2"/>
    </sheetView>
  </sheetViews>
  <sheetFormatPr defaultRowHeight="13.2"/>
  <cols>
    <col min="1" max="1" width="6.44140625" customWidth="1"/>
    <col min="2" max="2" width="59.5546875" customWidth="1"/>
    <col min="3" max="3" width="8.88671875" customWidth="1"/>
    <col min="4" max="4" width="6.109375" customWidth="1"/>
    <col min="5" max="5" width="5.77734375" customWidth="1"/>
    <col min="6" max="6" width="5.88671875" customWidth="1"/>
    <col min="7" max="10" width="2.6640625" customWidth="1"/>
    <col min="11" max="11" width="1.5546875" customWidth="1"/>
    <col min="12" max="15" width="2.6640625" customWidth="1"/>
    <col min="16" max="16" width="1.21875" customWidth="1"/>
    <col min="17" max="20" width="2.6640625" customWidth="1"/>
    <col min="21" max="21" width="1.33203125" customWidth="1"/>
    <col min="22" max="25" width="2.6640625" customWidth="1"/>
    <col min="26" max="27" width="11.88671875" customWidth="1"/>
    <col min="28" max="28" width="35.44140625" customWidth="1"/>
    <col min="29" max="54" width="11.88671875" customWidth="1"/>
  </cols>
  <sheetData>
    <row r="1" spans="1:54" ht="63.6" customHeight="1">
      <c r="A1" s="1">
        <v>1</v>
      </c>
      <c r="B1" s="8" t="s">
        <v>78</v>
      </c>
      <c r="AJ1">
        <f>IF(AF1-POWER(2,AJ$3)&lt;0,0,1)</f>
        <v>0</v>
      </c>
      <c r="AK1">
        <f>IF(AF1 - AJ1*POWER(2,AJ$3) - POWER(2,AK$3)&lt;0, 0,1)</f>
        <v>0</v>
      </c>
      <c r="AL1">
        <f>IF(AF1 - AJ1*POWER(2,AJ$3) - AK1 * POWER(2,AK$3) - POWER(2,AL$3)&lt;0, 0,1)</f>
        <v>0</v>
      </c>
      <c r="AM1">
        <f>IF(AF1 - AJ1*POWER(2,AJ$3) -AK1*POWER(2,AK$3)-AL1*POWER(2,AL$3)-POWER(2,AM$3)&lt;0,0,1)</f>
        <v>0</v>
      </c>
      <c r="AN1" t="s">
        <v>0</v>
      </c>
      <c r="AO1">
        <f>IF(AF1 - AJ1*POWER(2,AJ$3)-AK1*POWER(2,AK$3)-AL1*POWER(2,AL$3)-AM1*POWER(2,AM$3)-POWER(2,AO$3)&lt;0,0,1)</f>
        <v>0</v>
      </c>
      <c r="AP1">
        <f>IF(AF1 - AJ1*POWER(2,AJ$3)-AK1*POWER(2,AK$3)-AL1*POWER(2,AL$3)-AM1*POWER(2,AM$3)-AO1*POWER(2,AO$3)-POWER(2,AP$3)&lt;0,0,1)</f>
        <v>0</v>
      </c>
      <c r="AQ1">
        <f>IF(AF1 - AJ1*POWER(2,AJ$3)-AK1*POWER(2,AK$3)-AL1*POWER(2,AL$3)-AM1*POWER(2,AM$3)-AO1*POWER(2,AO$3)-AP1*POWER(2,AP$3)-POWER(2,AQ$3)&lt;0,0,1)</f>
        <v>0</v>
      </c>
      <c r="AR1">
        <f>IF(AF1 - AJ1*POWER(2,AJ$3)-AK1*POWER(2,AK$3)-AL1*POWER(2,AL$3)-AM1*POWER(2,AM$3)-AO1*POWER(2,AO$3)-AP1*POWER(2,AP$3)-AQ1*POWER(2,AQ$3)-POWER(2,AR$3)&lt;0,0,1)</f>
        <v>0</v>
      </c>
      <c r="AS1" t="s">
        <v>0</v>
      </c>
      <c r="AT1">
        <f>IF(AF1 - AJ1*POWER(2,AJ$3)-AK1*POWER(2,AK$3)-AL1*POWER(2,AL$3)-AM1*POWER(2,AM$3)-AO1*POWER(2,AO$3)-AP1*POWER(2,AP$3)-AQ1*POWER(2,AQ$3)-AR1*POWER(2,AR$3)-POWER(2,AT$3)&lt;0,0,1)</f>
        <v>0</v>
      </c>
      <c r="AU1">
        <f>IF(AF1 - AJ1*POWER(2,AJ$3)-AK1*POWER(2,AK$3)-AL1*POWER(2,AL$3)-AM1*POWER(2,AM$3)-AO1*POWER(2,AO$3)-AP1*POWER(2,AP$3)-AQ1*POWER(2,AQ$3)-AR1*POWER(2,AR$3)-AT1*POWER(2,AT$3)-POWER(2,AU$3)&lt;0,0,1)</f>
        <v>0</v>
      </c>
      <c r="AV1">
        <f>IF(AF1 - AJ1*POWER(2,AJ$3)-AK1*POWER(2,AK$3)-AL1*POWER(2,AL$3)-AM1*POWER(2,AM$3)-AO1*POWER(2,AO$3)-AP1*POWER(2,AP$3)-AQ1*POWER(2,AQ$3)-AR1*POWER(2,AR$3)-AT1*POWER(2,AT$3)-AU1*POWER(2,AU$3)-POWER(2,AV$3)&lt;0,0,1)</f>
        <v>0</v>
      </c>
      <c r="AW1">
        <f>IF(AF1 - AJ1*POWER(2,AJ$3)-AK1*POWER(2,AK$3)-AL1*POWER(2,AL$3)-AM1*POWER(2,AM$3)-AO1*POWER(2,AO$3)-AP1*POWER(2,AP$3)-AQ1*POWER(2,AQ$3)-AR1*POWER(2,AR$3)-AT1*POWER(2,AT$3)-AU1*POWER(2,AU$3)-AV1*POWER(2,AV$3)-POWER(2,AW$3)&lt;0,0,1)</f>
        <v>0</v>
      </c>
      <c r="AX1" t="s">
        <v>0</v>
      </c>
      <c r="AY1">
        <f>IF(AF1 - AJ1*POWER(2,AJ$3)-AK1*POWER(2,AK$3)-AL1*POWER(2,AL$3)-AM1*POWER(2,AM$3)-AO1*POWER(2,AO$3)-AP1*POWER(2,AP$3)-AQ1*POWER(2,AQ$3)-AR1*POWER(2,AR$3)-AT1*POWER(2,AT$3)-AU1*POWER(2,AU$3)-AV1*POWER(2,AV$3)-AW1*POWER(2,AW$3)-POWER(2,AY$3)&lt;0,0,1)</f>
        <v>0</v>
      </c>
      <c r="AZ1">
        <f>IF(AF1 - AJ1*POWER(2,AJ$3)-AK1*POWER(2,AK$3)-AL1*POWER(2,AL$3)-AM1*POWER(2,AM$3)-AO1*POWER(2,AO$3)-AP1*POWER(2,AP$3)-AQ1*POWER(2,AQ$3)-AR1*POWER(2,AR$3)-AT1*POWER(2,AT$3)-AU1*POWER(2,AU$3)-AV1*POWER(2,AV$3)-AW1*POWER(2,AW$3)-AY1*POWER(2,AY$3)-POWER(2,AZ$3)&lt;0,0,1)</f>
        <v>0</v>
      </c>
      <c r="BA1">
        <f>IF(AF1 - AJ1*POWER(2,AJ$3)-AK1*POWER(2,AK$3)-AL1*POWER(2,AL$3)-AM1*POWER(2,AM$3)-AO1*POWER(2,AO$3)-AP1*POWER(2,AP$3)-AQ1*POWER(2,AQ$3)-AR1*POWER(2,AR$3)-AT1*POWER(2,AT$3)-AU1*POWER(2,AU$3)-AV1*POWER(2,AV$3)-AW1*POWER(2,AW$3)-AY1*POWER(2,AY$3)-AZ1*POWER(2,AZ$3)-POWER(2,BA$3)&lt;0,0,1)</f>
        <v>0</v>
      </c>
      <c r="BB1">
        <f>IF(AF1 - AJ1*POWER(2,AJ$3)-AK1*POWER(2,AK$3)-AL1*POWER(2,AL$3)-AM1*POWER(2,AM$3)-AO1*POWER(2,AO$3)-AP1*POWER(2,AP$3)-AQ1*POWER(2,AQ$3)-AR1*POWER(2,AR$3)-AT1*POWER(2,AT$3)-AU1*POWER(2,AU$3)-AV1*POWER(2,AV$3)-AW1*POWER(2,AW$3)-AY1*POWER(2,AY$3)-AZ1*POWER(2,AZ$3)-BA1*POWER(2,BA$3)-POWER(2,BB$3)&lt;0,0,1)</f>
        <v>0</v>
      </c>
    </row>
    <row r="2" spans="1:54" ht="68.400000000000006" customHeight="1">
      <c r="A2" s="1">
        <v>2</v>
      </c>
      <c r="B2" s="8" t="s">
        <v>79</v>
      </c>
      <c r="AB2" s="2"/>
    </row>
    <row r="3" spans="1:54" ht="59.4" customHeight="1">
      <c r="A3" s="1">
        <v>3</v>
      </c>
      <c r="B3" s="8" t="s">
        <v>74</v>
      </c>
    </row>
    <row r="4" spans="1:54" ht="73.8" customHeight="1">
      <c r="A4" s="1">
        <v>4</v>
      </c>
      <c r="B4" s="8" t="s">
        <v>75</v>
      </c>
    </row>
    <row r="5" spans="1:54" ht="75.599999999999994" customHeight="1">
      <c r="A5" s="1">
        <v>5</v>
      </c>
      <c r="B5" s="8" t="s">
        <v>76</v>
      </c>
    </row>
    <row r="6" spans="1:54" ht="60" customHeight="1">
      <c r="A6" s="1">
        <v>6</v>
      </c>
      <c r="B6" s="8" t="s">
        <v>77</v>
      </c>
    </row>
    <row r="20" spans="28:28" ht="13.8">
      <c r="AB20" s="3"/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819-8D9D-4D38-9521-30930F530118}">
  <dimension ref="A2:AI73"/>
  <sheetViews>
    <sheetView tabSelected="1" zoomScale="95" zoomScaleNormal="95" zoomScalePageLayoutView="99" workbookViewId="0">
      <selection activeCell="O73" sqref="O73"/>
    </sheetView>
  </sheetViews>
  <sheetFormatPr defaultRowHeight="13.2"/>
  <cols>
    <col min="1" max="1" width="5.33203125" customWidth="1"/>
    <col min="2" max="2" width="14.33203125" customWidth="1"/>
    <col min="3" max="3" width="9.5546875" customWidth="1"/>
    <col min="4" max="4" width="1.88671875" customWidth="1"/>
    <col min="5" max="6" width="6.21875" customWidth="1"/>
    <col min="7" max="11" width="2.6640625" customWidth="1"/>
    <col min="12" max="12" width="3.21875" customWidth="1"/>
    <col min="13" max="25" width="2.6640625" customWidth="1"/>
    <col min="26" max="26" width="3.6640625" customWidth="1"/>
    <col min="27" max="27" width="9.33203125" customWidth="1"/>
    <col min="28" max="28" width="3.77734375" customWidth="1"/>
    <col min="29" max="29" width="4.77734375" customWidth="1"/>
    <col min="30" max="30" width="2.33203125" customWidth="1"/>
    <col min="31" max="31" width="6.6640625" customWidth="1"/>
    <col min="32" max="32" width="4.21875" customWidth="1"/>
    <col min="33" max="33" width="9.88671875" customWidth="1"/>
    <col min="34" max="34" width="3.33203125" customWidth="1"/>
    <col min="35" max="35" width="55.88671875" customWidth="1"/>
    <col min="36" max="42" width="2.6640625" customWidth="1"/>
  </cols>
  <sheetData>
    <row r="2" spans="1:32">
      <c r="B2" t="s">
        <v>1</v>
      </c>
      <c r="C2">
        <f>3307</f>
        <v>3307</v>
      </c>
      <c r="F2" t="s">
        <v>80</v>
      </c>
    </row>
    <row r="3" spans="1:32">
      <c r="B3" t="s">
        <v>2</v>
      </c>
      <c r="C3">
        <f>20458</f>
        <v>20458</v>
      </c>
      <c r="F3" t="s">
        <v>80</v>
      </c>
      <c r="AB3" s="2"/>
    </row>
    <row r="5" spans="1:32">
      <c r="A5" t="s">
        <v>3</v>
      </c>
      <c r="B5" t="s">
        <v>4</v>
      </c>
      <c r="C5">
        <f>C2</f>
        <v>3307</v>
      </c>
      <c r="E5" t="s">
        <v>5</v>
      </c>
      <c r="G5" t="str">
        <f>MID(VLOOKUP(MID(IF(LEN(DEC2HEX(C5,4))&gt;=4,MID(TEXT(DEC2HEX(C5,4),"0"),LEN(TEXT(DEC2HEX(C5,4),"0"))-3,4),DEC2HEX(C5,4)),1,1),'двоичные коды'!A$1:B$16,2,0),1,1)</f>
        <v>0</v>
      </c>
      <c r="H5" t="str">
        <f>MID(VLOOKUP(MID(IF(LEN(DEC2HEX(C5,4))&gt;=4,MID(TEXT(DEC2HEX(C5,4),"0"),LEN(TEXT(DEC2HEX(C5,4),"0"))-3,4),DEC2HEX(C5,4)),1,1),'двоичные коды'!A$1:B$16,2,0),2,1)</f>
        <v>0</v>
      </c>
      <c r="I5" t="str">
        <f>MID(VLOOKUP(MID(IF(LEN(DEC2HEX(C5,4))&gt;=4,MID(TEXT(DEC2HEX(C5,4),"0"),LEN(TEXT(DEC2HEX(C5,4),"0"))-3,4),DEC2HEX(C5,4)),1,1),'двоичные коды'!A$1:B$16,2,0),3,1)</f>
        <v>0</v>
      </c>
      <c r="J5" t="str">
        <f>MID(VLOOKUP(MID(IF(LEN(DEC2HEX(C5,4))&gt;=4,MID(TEXT(DEC2HEX(C5,4),"0"),LEN(TEXT(DEC2HEX(C5,4),"0"))-3,4),DEC2HEX(C5,4)),1,1),'двоичные коды'!A$1:B$16,2,0),4,1)</f>
        <v>0</v>
      </c>
      <c r="K5" t="s">
        <v>0</v>
      </c>
      <c r="L5" t="str">
        <f>MID(VLOOKUP(MID(IF(LEN(DEC2HEX(C5,4))&gt;=4,MID(TEXT(DEC2HEX(C5,4),"0"),LEN(TEXT(DEC2HEX(C5,4),"0"))-3,4),DEC2HEX(C5,4)),2,1),'двоичные коды'!A$1:B$16,2,0),1,1)</f>
        <v>1</v>
      </c>
      <c r="M5" t="str">
        <f>MID(VLOOKUP(MID(IF(LEN(DEC2HEX(C5,4))&gt;=4,MID(TEXT(DEC2HEX(C5,4),"0"),LEN(TEXT(DEC2HEX(C5,4),"0"))-3,4),DEC2HEX(C5,4)),2,1),'двоичные коды'!A$1:B$16,2,0),2,1)</f>
        <v>1</v>
      </c>
      <c r="N5" t="str">
        <f>MID(VLOOKUP(MID(IF(LEN(DEC2HEX(C5,4))&gt;=4,MID(TEXT(DEC2HEX(C5,4),"0"),LEN(TEXT(DEC2HEX(C5,4),"0"))-3,4),DEC2HEX(C5,4)),2,1),'двоичные коды'!A$1:B$16,2,0),3,1)</f>
        <v>0</v>
      </c>
      <c r="O5" t="str">
        <f>MID(VLOOKUP(MID(IF(LEN(DEC2HEX(C5,4))&gt;=4,MID(TEXT(DEC2HEX(C5,4),"0"),LEN(TEXT(DEC2HEX(C5,4),"0"))-3,4),DEC2HEX(C5,4)),2,1),'двоичные коды'!A$1:B$16,2,0),4,1)</f>
        <v>0</v>
      </c>
      <c r="P5" t="s">
        <v>0</v>
      </c>
      <c r="Q5" t="str">
        <f>MID(VLOOKUP(MID(IF(LEN(DEC2HEX(C5,4))&gt;=4,MID(TEXT(DEC2HEX(C5,4),"0"),LEN(TEXT(DEC2HEX(C5,4),"0"))-3,4),DEC2HEX(C5,4)),3,1),'двоичные коды'!A$1:B$16,2,0),1,1)</f>
        <v>1</v>
      </c>
      <c r="R5" t="str">
        <f>MID(VLOOKUP(MID(IF(LEN(DEC2HEX(C5,4))&gt;=4,MID(TEXT(DEC2HEX(C5,4),"0"),LEN(TEXT(DEC2HEX(C5,4),"0"))-3,4),DEC2HEX(C5,4)),3,1),'двоичные коды'!A$1:B$16,2,0),2,1)</f>
        <v>1</v>
      </c>
      <c r="S5" t="str">
        <f>MID(VLOOKUP(MID(IF(LEN(DEC2HEX(C5,4))&gt;=4,MID(TEXT(DEC2HEX(C5,4),"0"),LEN(TEXT(DEC2HEX(C5,4),"0"))-3,4),DEC2HEX(C5,4)),3,1),'двоичные коды'!A$1:B$16,2,0),3,1)</f>
        <v>1</v>
      </c>
      <c r="T5" t="str">
        <f>MID(VLOOKUP(MID(IF(LEN(DEC2HEX(C5,4))&gt;=4,MID(TEXT(DEC2HEX(C5,4),"0"),LEN(TEXT(DEC2HEX(C5,4),"0"))-3,4),DEC2HEX(C5,4)),3,1),'двоичные коды'!A$1:B$16,2,0),4,1)</f>
        <v>0</v>
      </c>
      <c r="U5" t="s">
        <v>0</v>
      </c>
      <c r="V5" t="str">
        <f>MID(VLOOKUP(MID(IF(LEN(DEC2HEX(C5,4))&gt;=4,MID(TEXT(DEC2HEX(C5,4),"0"),LEN(TEXT(DEC2HEX(C5,4),"0"))-3,4),DEC2HEX(C5,4)),4,1),'двоичные коды'!A$1:B$16,2,0),1,1)</f>
        <v>1</v>
      </c>
      <c r="W5" t="str">
        <f>MID(VLOOKUP(MID(IF(LEN(DEC2HEX(C5,4))&gt;=4,MID(TEXT(DEC2HEX(C5,4),"0"),LEN(TEXT(DEC2HEX(C5,4),"0"))-3,4),DEC2HEX(C5,4)),4,1),'двоичные коды'!A$1:B$16,2,0),2,1)</f>
        <v>0</v>
      </c>
      <c r="X5" t="str">
        <f>MID(VLOOKUP(MID(IF(LEN(DEC2HEX(C5,4))&gt;=4,MID(TEXT(DEC2HEX(C5,4),"0"),LEN(TEXT(DEC2HEX(C5,4),"0"))-3,4),DEC2HEX(C5,4)),4,1),'двоичные коды'!A$1:B$16,2,0),3,1)</f>
        <v>1</v>
      </c>
      <c r="Y5" t="str">
        <f>MID(VLOOKUP(MID(IF(LEN(DEC2HEX(C5,4))&gt;=4,MID(TEXT(DEC2HEX(C5,4),"0"),LEN(TEXT(DEC2HEX(C5,4),"0"))-3,4),DEC2HEX(C5,4)),4,1),'двоичные коды'!A$1:B$16,2,0),4,1)</f>
        <v>1</v>
      </c>
    </row>
    <row r="6" spans="1:32">
      <c r="A6" t="s">
        <v>6</v>
      </c>
      <c r="B6" t="s">
        <v>7</v>
      </c>
      <c r="C6">
        <f>C3</f>
        <v>20458</v>
      </c>
      <c r="E6" t="s">
        <v>8</v>
      </c>
      <c r="G6" t="str">
        <f>MID(VLOOKUP(MID(IF(LEN(DEC2HEX(C6,4))&gt;=4,MID(TEXT(DEC2HEX(C6,4),"0"),LEN(TEXT(DEC2HEX(C6,4),"0"))-3,4),DEC2HEX(C6,4)),1,1),'двоичные коды'!A$1:B$16,2,0),1,1)</f>
        <v>0</v>
      </c>
      <c r="H6" t="str">
        <f>MID(VLOOKUP(MID(IF(LEN(DEC2HEX(C6,4))&gt;=4,MID(TEXT(DEC2HEX(C6,4),"0"),LEN(TEXT(DEC2HEX(C6,4),"0"))-3,4),DEC2HEX(C6,4)),1,1),'двоичные коды'!A$1:B$16,2,0),2,1)</f>
        <v>1</v>
      </c>
      <c r="I6" t="str">
        <f>MID(VLOOKUP(MID(IF(LEN(DEC2HEX(C6,4))&gt;=4,MID(TEXT(DEC2HEX(C6,4),"0"),LEN(TEXT(DEC2HEX(C6,4),"0"))-3,4),DEC2HEX(C6,4)),1,1),'двоичные коды'!A$1:B$16,2,0),3,1)</f>
        <v>0</v>
      </c>
      <c r="J6" t="str">
        <f>MID(VLOOKUP(MID(IF(LEN(DEC2HEX(C6,4))&gt;=4,MID(TEXT(DEC2HEX(C6,4),"0"),LEN(TEXT(DEC2HEX(C6,4),"0"))-3,4),DEC2HEX(C6,4)),1,1),'двоичные коды'!A$1:B$16,2,0),4,1)</f>
        <v>0</v>
      </c>
      <c r="K6" t="s">
        <v>0</v>
      </c>
      <c r="L6" t="str">
        <f>MID(VLOOKUP(MID(IF(LEN(DEC2HEX(C6,4))&gt;=4,MID(TEXT(DEC2HEX(C6,4),"0"),LEN(TEXT(DEC2HEX(C6,4),"0"))-3,4),DEC2HEX(C6,4)),2,1),'двоичные коды'!A$1:B$16,2,0),1,1)</f>
        <v>1</v>
      </c>
      <c r="M6" t="str">
        <f>MID(VLOOKUP(MID(IF(LEN(DEC2HEX(C6,4))&gt;=4,MID(TEXT(DEC2HEX(C6,4),"0"),LEN(TEXT(DEC2HEX(C6,4),"0"))-3,4),DEC2HEX(C6,4)),2,1),'двоичные коды'!A$1:B$16,2,0),2,1)</f>
        <v>1</v>
      </c>
      <c r="N6" t="str">
        <f>MID(VLOOKUP(MID(IF(LEN(DEC2HEX(C6,4))&gt;=4,MID(TEXT(DEC2HEX(C6,4),"0"),LEN(TEXT(DEC2HEX(C6,4),"0"))-3,4),DEC2HEX(C6,4)),2,1),'двоичные коды'!A$1:B$16,2,0),3,1)</f>
        <v>1</v>
      </c>
      <c r="O6" t="str">
        <f>MID(VLOOKUP(MID(IF(LEN(DEC2HEX(C6,4))&gt;=4,MID(TEXT(DEC2HEX(C6,4),"0"),LEN(TEXT(DEC2HEX(C6,4),"0"))-3,4),DEC2HEX(C6,4)),2,1),'двоичные коды'!A$1:B$16,2,0),4,1)</f>
        <v>1</v>
      </c>
      <c r="P6" t="s">
        <v>0</v>
      </c>
      <c r="Q6" t="str">
        <f>MID(VLOOKUP(MID(IF(LEN(DEC2HEX(C6,4))&gt;=4,MID(TEXT(DEC2HEX(C6,4),"0"),LEN(TEXT(DEC2HEX(C6,4),"0"))-3,4),DEC2HEX(C6,4)),3,1),'двоичные коды'!A$1:B$16,2,0),1,1)</f>
        <v>1</v>
      </c>
      <c r="R6" t="str">
        <f>MID(VLOOKUP(MID(IF(LEN(DEC2HEX(C6,4))&gt;=4,MID(TEXT(DEC2HEX(C6,4),"0"),LEN(TEXT(DEC2HEX(C6,4),"0"))-3,4),DEC2HEX(C6,4)),3,1),'двоичные коды'!A$1:B$16,2,0),2,1)</f>
        <v>1</v>
      </c>
      <c r="S6" t="str">
        <f>MID(VLOOKUP(MID(IF(LEN(DEC2HEX(C6,4))&gt;=4,MID(TEXT(DEC2HEX(C6,4),"0"),LEN(TEXT(DEC2HEX(C6,4),"0"))-3,4),DEC2HEX(C6,4)),3,1),'двоичные коды'!A$1:B$16,2,0),3,1)</f>
        <v>1</v>
      </c>
      <c r="T6" t="str">
        <f>MID(VLOOKUP(MID(IF(LEN(DEC2HEX(C6,4))&gt;=4,MID(TEXT(DEC2HEX(C6,4),"0"),LEN(TEXT(DEC2HEX(C6,4),"0"))-3,4),DEC2HEX(C6,4)),3,1),'двоичные коды'!A$1:B$16,2,0),4,1)</f>
        <v>0</v>
      </c>
      <c r="U6" t="s">
        <v>0</v>
      </c>
      <c r="V6" t="str">
        <f>MID(VLOOKUP(MID(IF(LEN(DEC2HEX(C6,4))&gt;=4,MID(TEXT(DEC2HEX(C6,4),"0"),LEN(TEXT(DEC2HEX(C6,4),"0"))-3,4),DEC2HEX(C6,4)),4,1),'двоичные коды'!A$1:B$16,2,0),1,1)</f>
        <v>1</v>
      </c>
      <c r="W6" t="str">
        <f>MID(VLOOKUP(MID(IF(LEN(DEC2HEX(C6,4))&gt;=4,MID(TEXT(DEC2HEX(C6,4),"0"),LEN(TEXT(DEC2HEX(C6,4),"0"))-3,4),DEC2HEX(C6,4)),4,1),'двоичные коды'!A$1:B$16,2,0),2,1)</f>
        <v>0</v>
      </c>
      <c r="X6" t="str">
        <f>MID(VLOOKUP(MID(IF(LEN(DEC2HEX(C6,4))&gt;=4,MID(TEXT(DEC2HEX(C6,4),"0"),LEN(TEXT(DEC2HEX(C6,4),"0"))-3,4),DEC2HEX(C6,4)),4,1),'двоичные коды'!A$1:B$16,2,0),3,1)</f>
        <v>1</v>
      </c>
      <c r="Y6" t="str">
        <f>MID(VLOOKUP(MID(IF(LEN(DEC2HEX(C6,4))&gt;=4,MID(TEXT(DEC2HEX(C6,4),"0"),LEN(TEXT(DEC2HEX(C6,4),"0"))-3,4),DEC2HEX(C6,4)),4,1),'двоичные коды'!A$1:B$16,2,0),4,1)</f>
        <v>0</v>
      </c>
    </row>
    <row r="7" spans="1:32">
      <c r="A7" t="s">
        <v>9</v>
      </c>
      <c r="B7" t="s">
        <v>10</v>
      </c>
      <c r="C7">
        <f>C2+C3</f>
        <v>23765</v>
      </c>
      <c r="E7" t="s">
        <v>11</v>
      </c>
      <c r="G7" t="str">
        <f>MID(VLOOKUP(MID(IF(LEN(DEC2HEX(C7,4))&gt;=4,MID(TEXT(DEC2HEX(C7,4),"0"),LEN(TEXT(DEC2HEX(C7,4),"0"))-3,4),DEC2HEX(C7,4)),1,1),'двоичные коды'!A$1:B$16,2,0),1,1)</f>
        <v>0</v>
      </c>
      <c r="H7" t="str">
        <f>MID(VLOOKUP(MID(IF(LEN(DEC2HEX(C7,4))&gt;=4,MID(TEXT(DEC2HEX(C7,4),"0"),LEN(TEXT(DEC2HEX(C7,4),"0"))-3,4),DEC2HEX(C7,4)),1,1),'двоичные коды'!A$1:B$16,2,0),2,1)</f>
        <v>1</v>
      </c>
      <c r="I7" t="str">
        <f>MID(VLOOKUP(MID(IF(LEN(DEC2HEX(C7,4))&gt;=4,MID(TEXT(DEC2HEX(C7,4),"0"),LEN(TEXT(DEC2HEX(C7,4),"0"))-3,4),DEC2HEX(C7,4)),1,1),'двоичные коды'!A$1:B$16,2,0),3,1)</f>
        <v>0</v>
      </c>
      <c r="J7" t="str">
        <f>MID(VLOOKUP(MID(IF(LEN(DEC2HEX(C7,4))&gt;=4,MID(TEXT(DEC2HEX(C7,4),"0"),LEN(TEXT(DEC2HEX(C7,4),"0"))-3,4),DEC2HEX(C7,4)),1,1),'двоичные коды'!A$1:B$16,2,0),4,1)</f>
        <v>1</v>
      </c>
      <c r="K7" t="s">
        <v>0</v>
      </c>
      <c r="L7" t="str">
        <f>MID(VLOOKUP(MID(IF(LEN(DEC2HEX(C7,4))&gt;=4,MID(TEXT(DEC2HEX(C7,4),"0"),LEN(TEXT(DEC2HEX(C7,4),"0"))-3,4),DEC2HEX(C7,4)),2,1),'двоичные коды'!A$1:B$16,2,0),1,1)</f>
        <v>1</v>
      </c>
      <c r="M7" t="str">
        <f>MID(VLOOKUP(MID(IF(LEN(DEC2HEX(C7,4))&gt;=4,MID(TEXT(DEC2HEX(C7,4),"0"),LEN(TEXT(DEC2HEX(C7,4),"0"))-3,4),DEC2HEX(C7,4)),2,1),'двоичные коды'!A$1:B$16,2,0),2,1)</f>
        <v>1</v>
      </c>
      <c r="N7" t="str">
        <f>MID(VLOOKUP(MID(IF(LEN(DEC2HEX(C7,4))&gt;=4,MID(TEXT(DEC2HEX(C7,4),"0"),LEN(TEXT(DEC2HEX(C7,4),"0"))-3,4),DEC2HEX(C7,4)),2,1),'двоичные коды'!A$1:B$16,2,0),3,1)</f>
        <v>0</v>
      </c>
      <c r="O7" t="str">
        <f>MID(VLOOKUP(MID(IF(LEN(DEC2HEX(C7,4))&gt;=4,MID(TEXT(DEC2HEX(C7,4),"0"),LEN(TEXT(DEC2HEX(C7,4),"0"))-3,4),DEC2HEX(C7,4)),2,1),'двоичные коды'!A$1:B$16,2,0),4,1)</f>
        <v>0</v>
      </c>
      <c r="P7" t="s">
        <v>0</v>
      </c>
      <c r="Q7" t="str">
        <f>MID(VLOOKUP(MID(IF(LEN(DEC2HEX(C7,4))&gt;=4,MID(TEXT(DEC2HEX(C7,4),"0"),LEN(TEXT(DEC2HEX(C7,4),"0"))-3,4),DEC2HEX(C7,4)),3,1),'двоичные коды'!A$1:B$16,2,0),1,1)</f>
        <v>1</v>
      </c>
      <c r="R7" t="str">
        <f>MID(VLOOKUP(MID(IF(LEN(DEC2HEX(C7,4))&gt;=4,MID(TEXT(DEC2HEX(C7,4),"0"),LEN(TEXT(DEC2HEX(C7,4),"0"))-3,4),DEC2HEX(C7,4)),3,1),'двоичные коды'!A$1:B$16,2,0),2,1)</f>
        <v>1</v>
      </c>
      <c r="S7" t="str">
        <f>MID(VLOOKUP(MID(IF(LEN(DEC2HEX(C7,4))&gt;=4,MID(TEXT(DEC2HEX(C7,4),"0"),LEN(TEXT(DEC2HEX(C7,4),"0"))-3,4),DEC2HEX(C7,4)),3,1),'двоичные коды'!A$1:B$16,2,0),3,1)</f>
        <v>0</v>
      </c>
      <c r="T7" t="str">
        <f>MID(VLOOKUP(MID(IF(LEN(DEC2HEX(C7,4))&gt;=4,MID(TEXT(DEC2HEX(C7,4),"0"),LEN(TEXT(DEC2HEX(C7,4),"0"))-3,4),DEC2HEX(C7,4)),3,1),'двоичные коды'!A$1:B$16,2,0),4,1)</f>
        <v>1</v>
      </c>
      <c r="U7" t="s">
        <v>0</v>
      </c>
      <c r="V7" t="str">
        <f>MID(VLOOKUP(MID(IF(LEN(DEC2HEX(C7,4))&gt;=4,MID(TEXT(DEC2HEX(C7,4),"0"),LEN(TEXT(DEC2HEX(C7,4),"0"))-3,4),DEC2HEX(C7,4)),4,1),'двоичные коды'!A$1:B$16,2,0),1,1)</f>
        <v>0</v>
      </c>
      <c r="W7" t="str">
        <f>MID(VLOOKUP(MID(IF(LEN(DEC2HEX(C7,4))&gt;=4,MID(TEXT(DEC2HEX(C7,4),"0"),LEN(TEXT(DEC2HEX(C7,4),"0"))-3,4),DEC2HEX(C7,4)),4,1),'двоичные коды'!A$1:B$16,2,0),2,1)</f>
        <v>1</v>
      </c>
      <c r="X7" t="str">
        <f>MID(VLOOKUP(MID(IF(LEN(DEC2HEX(C7,4))&gt;=4,MID(TEXT(DEC2HEX(C7,4),"0"),LEN(TEXT(DEC2HEX(C7,4),"0"))-3,4),DEC2HEX(C7,4)),4,1),'двоичные коды'!A$1:B$16,2,0),3,1)</f>
        <v>0</v>
      </c>
      <c r="Y7" t="str">
        <f>MID(VLOOKUP(MID(IF(LEN(DEC2HEX(C7,4))&gt;=4,MID(TEXT(DEC2HEX(C7,4),"0"),LEN(TEXT(DEC2HEX(C7,4),"0"))-3,4),DEC2HEX(C7,4)),4,1),'двоичные коды'!A$1:B$16,2,0),4,1)</f>
        <v>1</v>
      </c>
      <c r="AB7" s="4"/>
      <c r="AC7" s="4"/>
      <c r="AD7" s="4"/>
      <c r="AE7" s="4"/>
      <c r="AF7" s="4"/>
    </row>
    <row r="8" spans="1:32">
      <c r="A8" t="s">
        <v>12</v>
      </c>
      <c r="B8" t="s">
        <v>13</v>
      </c>
      <c r="C8">
        <f>C2+C3*2</f>
        <v>44223</v>
      </c>
      <c r="E8" t="s">
        <v>14</v>
      </c>
      <c r="G8" t="str">
        <f>MID(VLOOKUP(MID(IF(LEN(DEC2HEX(C8,4))&gt;=4,MID(TEXT(DEC2HEX(C8,4),"0"),LEN(TEXT(DEC2HEX(C8,4),"0"))-3,4),DEC2HEX(C8,4)),1,1),'двоичные коды'!A$1:B$16,2,0),1,1)</f>
        <v>1</v>
      </c>
      <c r="H8" t="str">
        <f>MID(VLOOKUP(MID(IF(LEN(DEC2HEX(C8,4))&gt;=4,MID(TEXT(DEC2HEX(C8,4),"0"),LEN(TEXT(DEC2HEX(C8,4),"0"))-3,4),DEC2HEX(C8,4)),1,1),'двоичные коды'!A$1:B$16,2,0),2,1)</f>
        <v>0</v>
      </c>
      <c r="I8" t="str">
        <f>MID(VLOOKUP(MID(IF(LEN(DEC2HEX(C8,4))&gt;=4,MID(TEXT(DEC2HEX(C8,4),"0"),LEN(TEXT(DEC2HEX(C8,4),"0"))-3,4),DEC2HEX(C8,4)),1,1),'двоичные коды'!A$1:B$16,2,0),3,1)</f>
        <v>1</v>
      </c>
      <c r="J8" t="str">
        <f>MID(VLOOKUP(MID(IF(LEN(DEC2HEX(C8,4))&gt;=4,MID(TEXT(DEC2HEX(C8,4),"0"),LEN(TEXT(DEC2HEX(C8,4),"0"))-3,4),DEC2HEX(C8,4)),1,1),'двоичные коды'!A$1:B$16,2,0),4,1)</f>
        <v>0</v>
      </c>
      <c r="K8" t="s">
        <v>0</v>
      </c>
      <c r="L8" t="str">
        <f>MID(VLOOKUP(MID(IF(LEN(DEC2HEX(C8,4))&gt;=4,MID(TEXT(DEC2HEX(C8,4),"0"),LEN(TEXT(DEC2HEX(C8,4),"0"))-3,4),DEC2HEX(C8,4)),2,1),'двоичные коды'!A$1:B$16,2,0),1,1)</f>
        <v>1</v>
      </c>
      <c r="M8" t="str">
        <f>MID(VLOOKUP(MID(IF(LEN(DEC2HEX(C8,4))&gt;=4,MID(TEXT(DEC2HEX(C8,4),"0"),LEN(TEXT(DEC2HEX(C8,4),"0"))-3,4),DEC2HEX(C8,4)),2,1),'двоичные коды'!A$1:B$16,2,0),2,1)</f>
        <v>1</v>
      </c>
      <c r="N8" t="str">
        <f>MID(VLOOKUP(MID(IF(LEN(DEC2HEX(C8,4))&gt;=4,MID(TEXT(DEC2HEX(C8,4),"0"),LEN(TEXT(DEC2HEX(C8,4),"0"))-3,4),DEC2HEX(C8,4)),2,1),'двоичные коды'!A$1:B$16,2,0),3,1)</f>
        <v>0</v>
      </c>
      <c r="O8" t="str">
        <f>MID(VLOOKUP(MID(IF(LEN(DEC2HEX(C8,4))&gt;=4,MID(TEXT(DEC2HEX(C8,4),"0"),LEN(TEXT(DEC2HEX(C8,4),"0"))-3,4),DEC2HEX(C8,4)),2,1),'двоичные коды'!A$1:B$16,2,0),4,1)</f>
        <v>0</v>
      </c>
      <c r="P8" t="s">
        <v>0</v>
      </c>
      <c r="Q8" t="str">
        <f>MID(VLOOKUP(MID(IF(LEN(DEC2HEX(C8,4))&gt;=4,MID(TEXT(DEC2HEX(C8,4),"0"),LEN(TEXT(DEC2HEX(C8,4),"0"))-3,4),DEC2HEX(C8,4)),3,1),'двоичные коды'!A$1:B$16,2,0),1,1)</f>
        <v>1</v>
      </c>
      <c r="R8" t="str">
        <f>MID(VLOOKUP(MID(IF(LEN(DEC2HEX(C8,4))&gt;=4,MID(TEXT(DEC2HEX(C8,4),"0"),LEN(TEXT(DEC2HEX(C8,4),"0"))-3,4),DEC2HEX(C8,4)),3,1),'двоичные коды'!A$1:B$16,2,0),2,1)</f>
        <v>0</v>
      </c>
      <c r="S8" t="str">
        <f>MID(VLOOKUP(MID(IF(LEN(DEC2HEX(C8,4))&gt;=4,MID(TEXT(DEC2HEX(C8,4),"0"),LEN(TEXT(DEC2HEX(C8,4),"0"))-3,4),DEC2HEX(C8,4)),3,1),'двоичные коды'!A$1:B$16,2,0),3,1)</f>
        <v>1</v>
      </c>
      <c r="T8" t="str">
        <f>MID(VLOOKUP(MID(IF(LEN(DEC2HEX(C8,4))&gt;=4,MID(TEXT(DEC2HEX(C8,4),"0"),LEN(TEXT(DEC2HEX(C8,4),"0"))-3,4),DEC2HEX(C8,4)),3,1),'двоичные коды'!A$1:B$16,2,0),4,1)</f>
        <v>1</v>
      </c>
      <c r="U8" t="s">
        <v>0</v>
      </c>
      <c r="V8" t="str">
        <f>MID(VLOOKUP(MID(IF(LEN(DEC2HEX(C8,4))&gt;=4,MID(TEXT(DEC2HEX(C8,4),"0"),LEN(TEXT(DEC2HEX(C8,4),"0"))-3,4),DEC2HEX(C8,4)),4,1),'двоичные коды'!A$1:B$16,2,0),1,1)</f>
        <v>1</v>
      </c>
      <c r="W8" t="str">
        <f>MID(VLOOKUP(MID(IF(LEN(DEC2HEX(C8,4))&gt;=4,MID(TEXT(DEC2HEX(C8,4),"0"),LEN(TEXT(DEC2HEX(C8,4),"0"))-3,4),DEC2HEX(C8,4)),4,1),'двоичные коды'!A$1:B$16,2,0),2,1)</f>
        <v>1</v>
      </c>
      <c r="X8" t="str">
        <f>MID(VLOOKUP(MID(IF(LEN(DEC2HEX(C8,4))&gt;=4,MID(TEXT(DEC2HEX(C8,4),"0"),LEN(TEXT(DEC2HEX(C8,4),"0"))-3,4),DEC2HEX(C8,4)),4,1),'двоичные коды'!A$1:B$16,2,0),3,1)</f>
        <v>1</v>
      </c>
      <c r="Y8" t="str">
        <f>MID(VLOOKUP(MID(IF(LEN(DEC2HEX(C8,4))&gt;=4,MID(TEXT(DEC2HEX(C8,4),"0"),LEN(TEXT(DEC2HEX(C8,4),"0"))-3,4),DEC2HEX(C8,4)),4,1),'двоичные коды'!A$1:B$16,2,0),4,1)</f>
        <v>1</v>
      </c>
      <c r="AB8" s="4"/>
      <c r="AC8" s="4"/>
      <c r="AD8" s="4"/>
      <c r="AE8" s="4"/>
      <c r="AF8" s="4"/>
    </row>
    <row r="9" spans="1:32">
      <c r="A9" t="s">
        <v>15</v>
      </c>
      <c r="B9" t="s">
        <v>16</v>
      </c>
      <c r="C9">
        <f>C3-C2</f>
        <v>17151</v>
      </c>
      <c r="E9" t="s">
        <v>17</v>
      </c>
      <c r="G9" t="str">
        <f>MID(VLOOKUP(MID(IF(LEN(DEC2HEX(C9,4))&gt;=4,MID(TEXT(DEC2HEX(C9,4),"0"),LEN(TEXT(DEC2HEX(C9,4),"0"))-3,4),DEC2HEX(C9,4)),1,1),'двоичные коды'!A$1:B$16,2,0),1,1)</f>
        <v>0</v>
      </c>
      <c r="H9" t="str">
        <f>MID(VLOOKUP(MID(IF(LEN(DEC2HEX(C9,4))&gt;=4,MID(TEXT(DEC2HEX(C9,4),"0"),LEN(TEXT(DEC2HEX(C9,4),"0"))-3,4),DEC2HEX(C9,4)),1,1),'двоичные коды'!A$1:B$16,2,0),2,1)</f>
        <v>1</v>
      </c>
      <c r="I9" t="str">
        <f>MID(VLOOKUP(MID(IF(LEN(DEC2HEX(C9,4))&gt;=4,MID(TEXT(DEC2HEX(C9,4),"0"),LEN(TEXT(DEC2HEX(C9,4),"0"))-3,4),DEC2HEX(C9,4)),1,1),'двоичные коды'!A$1:B$16,2,0),3,1)</f>
        <v>0</v>
      </c>
      <c r="J9" t="str">
        <f>MID(VLOOKUP(MID(IF(LEN(DEC2HEX(C9,4))&gt;=4,MID(TEXT(DEC2HEX(C9,4),"0"),LEN(TEXT(DEC2HEX(C9,4),"0"))-3,4),DEC2HEX(C9,4)),1,1),'двоичные коды'!A$1:B$16,2,0),4,1)</f>
        <v>0</v>
      </c>
      <c r="K9" t="s">
        <v>0</v>
      </c>
      <c r="L9" t="str">
        <f>MID(VLOOKUP(MID(IF(LEN(DEC2HEX(C9,4))&gt;=4,MID(TEXT(DEC2HEX(C9,4),"0"),LEN(TEXT(DEC2HEX(C9,4),"0"))-3,4),DEC2HEX(C9,4)),2,1),'двоичные коды'!A$1:B$16,2,0),1,1)</f>
        <v>0</v>
      </c>
      <c r="M9" t="str">
        <f>MID(VLOOKUP(MID(IF(LEN(DEC2HEX(C9,4))&gt;=4,MID(TEXT(DEC2HEX(C9,4),"0"),LEN(TEXT(DEC2HEX(C9,4),"0"))-3,4),DEC2HEX(C9,4)),2,1),'двоичные коды'!A$1:B$16,2,0),2,1)</f>
        <v>0</v>
      </c>
      <c r="N9" t="str">
        <f>MID(VLOOKUP(MID(IF(LEN(DEC2HEX(C9,4))&gt;=4,MID(TEXT(DEC2HEX(C9,4),"0"),LEN(TEXT(DEC2HEX(C9,4),"0"))-3,4),DEC2HEX(C9,4)),2,1),'двоичные коды'!A$1:B$16,2,0),3,1)</f>
        <v>1</v>
      </c>
      <c r="O9" t="str">
        <f>MID(VLOOKUP(MID(IF(LEN(DEC2HEX(C9,4))&gt;=4,MID(TEXT(DEC2HEX(C9,4),"0"),LEN(TEXT(DEC2HEX(C9,4),"0"))-3,4),DEC2HEX(C9,4)),2,1),'двоичные коды'!A$1:B$16,2,0),4,1)</f>
        <v>0</v>
      </c>
      <c r="P9" t="s">
        <v>0</v>
      </c>
      <c r="Q9" t="str">
        <f>MID(VLOOKUP(MID(IF(LEN(DEC2HEX(C9,4))&gt;=4,MID(TEXT(DEC2HEX(C9,4),"0"),LEN(TEXT(DEC2HEX(C9,4),"0"))-3,4),DEC2HEX(C9,4)),3,1),'двоичные коды'!A$1:B$16,2,0),1,1)</f>
        <v>1</v>
      </c>
      <c r="R9" t="str">
        <f>MID(VLOOKUP(MID(IF(LEN(DEC2HEX(C9,4))&gt;=4,MID(TEXT(DEC2HEX(C9,4),"0"),LEN(TEXT(DEC2HEX(C9,4),"0"))-3,4),DEC2HEX(C9,4)),3,1),'двоичные коды'!A$1:B$16,2,0),2,1)</f>
        <v>1</v>
      </c>
      <c r="S9" t="str">
        <f>MID(VLOOKUP(MID(IF(LEN(DEC2HEX(C9,4))&gt;=4,MID(TEXT(DEC2HEX(C9,4),"0"),LEN(TEXT(DEC2HEX(C9,4),"0"))-3,4),DEC2HEX(C9,4)),3,1),'двоичные коды'!A$1:B$16,2,0),3,1)</f>
        <v>1</v>
      </c>
      <c r="T9" t="str">
        <f>MID(VLOOKUP(MID(IF(LEN(DEC2HEX(C9,4))&gt;=4,MID(TEXT(DEC2HEX(C9,4),"0"),LEN(TEXT(DEC2HEX(C9,4),"0"))-3,4),DEC2HEX(C9,4)),3,1),'двоичные коды'!A$1:B$16,2,0),4,1)</f>
        <v>1</v>
      </c>
      <c r="U9" t="s">
        <v>0</v>
      </c>
      <c r="V9" t="str">
        <f>MID(VLOOKUP(MID(IF(LEN(DEC2HEX(C9,4))&gt;=4,MID(TEXT(DEC2HEX(C9,4),"0"),LEN(TEXT(DEC2HEX(C9,4),"0"))-3,4),DEC2HEX(C9,4)),4,1),'двоичные коды'!A$1:B$16,2,0),1,1)</f>
        <v>1</v>
      </c>
      <c r="W9" t="str">
        <f>MID(VLOOKUP(MID(IF(LEN(DEC2HEX(C9,4))&gt;=4,MID(TEXT(DEC2HEX(C9,4),"0"),LEN(TEXT(DEC2HEX(C9,4),"0"))-3,4),DEC2HEX(C9,4)),4,1),'двоичные коды'!A$1:B$16,2,0),2,1)</f>
        <v>1</v>
      </c>
      <c r="X9" t="str">
        <f>MID(VLOOKUP(MID(IF(LEN(DEC2HEX(C9,4))&gt;=4,MID(TEXT(DEC2HEX(C9,4),"0"),LEN(TEXT(DEC2HEX(C9,4),"0"))-3,4),DEC2HEX(C9,4)),4,1),'двоичные коды'!A$1:B$16,2,0),3,1)</f>
        <v>1</v>
      </c>
      <c r="Y9" t="str">
        <f>MID(VLOOKUP(MID(IF(LEN(DEC2HEX(C9,4))&gt;=4,MID(TEXT(DEC2HEX(C9,4),"0"),LEN(TEXT(DEC2HEX(C9,4),"0"))-3,4),DEC2HEX(C9,4)),4,1),'двоичные коды'!A$1:B$16,2,0),4,1)</f>
        <v>1</v>
      </c>
      <c r="AB9" s="4"/>
      <c r="AC9" s="4"/>
      <c r="AD9" s="4"/>
      <c r="AE9" s="4"/>
      <c r="AF9" s="4"/>
    </row>
    <row r="10" spans="1:32">
      <c r="A10" t="s">
        <v>18</v>
      </c>
      <c r="B10" t="s">
        <v>19</v>
      </c>
      <c r="C10">
        <f>65536-C8</f>
        <v>21313</v>
      </c>
      <c r="E10" t="s">
        <v>20</v>
      </c>
      <c r="G10" t="str">
        <f>MID(VLOOKUP(MID(IF(LEN(DEC2HEX(C10,4))&gt;=4,MID(TEXT(DEC2HEX(C10,4),"0"),LEN(TEXT(DEC2HEX(C10,4),"0"))-3,4),DEC2HEX(C10,4)),1,1),'двоичные коды'!A$1:B$16,2,0),1,1)</f>
        <v>0</v>
      </c>
      <c r="H10" t="str">
        <f>MID(VLOOKUP(MID(IF(LEN(DEC2HEX(C10,4))&gt;=4,MID(TEXT(DEC2HEX(C10,4),"0"),LEN(TEXT(DEC2HEX(C10,4),"0"))-3,4),DEC2HEX(C10,4)),1,1),'двоичные коды'!A$1:B$16,2,0),2,1)</f>
        <v>1</v>
      </c>
      <c r="I10" t="str">
        <f>MID(VLOOKUP(MID(IF(LEN(DEC2HEX(C10,4))&gt;=4,MID(TEXT(DEC2HEX(C10,4),"0"),LEN(TEXT(DEC2HEX(C10,4),"0"))-3,4),DEC2HEX(C10,4)),1,1),'двоичные коды'!A$1:B$16,2,0),3,1)</f>
        <v>0</v>
      </c>
      <c r="J10" t="str">
        <f>MID(VLOOKUP(MID(IF(LEN(DEC2HEX(C10,4))&gt;=4,MID(TEXT(DEC2HEX(C10,4),"0"),LEN(TEXT(DEC2HEX(C10,4),"0"))-3,4),DEC2HEX(C10,4)),1,1),'двоичные коды'!A$1:B$16,2,0),4,1)</f>
        <v>1</v>
      </c>
      <c r="K10" t="s">
        <v>0</v>
      </c>
      <c r="L10" t="str">
        <f>MID(VLOOKUP(MID(IF(LEN(DEC2HEX(C10,4))&gt;=4,MID(TEXT(DEC2HEX(C10,4),"0"),LEN(TEXT(DEC2HEX(C10,4),"0"))-3,4),DEC2HEX(C10,4)),2,1),'двоичные коды'!A$1:B$16,2,0),1,1)</f>
        <v>0</v>
      </c>
      <c r="M10" t="str">
        <f>MID(VLOOKUP(MID(IF(LEN(DEC2HEX(C10,4))&gt;=4,MID(TEXT(DEC2HEX(C10,4),"0"),LEN(TEXT(DEC2HEX(C10,4),"0"))-3,4),DEC2HEX(C10,4)),2,1),'двоичные коды'!A$1:B$16,2,0),2,1)</f>
        <v>0</v>
      </c>
      <c r="N10" t="str">
        <f>MID(VLOOKUP(MID(IF(LEN(DEC2HEX(C10,4))&gt;=4,MID(TEXT(DEC2HEX(C10,4),"0"),LEN(TEXT(DEC2HEX(C10,4),"0"))-3,4),DEC2HEX(C10,4)),2,1),'двоичные коды'!A$1:B$16,2,0),3,1)</f>
        <v>1</v>
      </c>
      <c r="O10" t="str">
        <f>MID(VLOOKUP(MID(IF(LEN(DEC2HEX(C10,4))&gt;=4,MID(TEXT(DEC2HEX(C10,4),"0"),LEN(TEXT(DEC2HEX(C10,4),"0"))-3,4),DEC2HEX(C10,4)),2,1),'двоичные коды'!A$1:B$16,2,0),4,1)</f>
        <v>1</v>
      </c>
      <c r="P10" t="s">
        <v>0</v>
      </c>
      <c r="Q10" t="str">
        <f>MID(VLOOKUP(MID(IF(LEN(DEC2HEX(C10,4))&gt;=4,MID(TEXT(DEC2HEX(C10,4),"0"),LEN(TEXT(DEC2HEX(C10,4),"0"))-3,4),DEC2HEX(C10,4)),3,1),'двоичные коды'!A$1:B$16,2,0),1,1)</f>
        <v>0</v>
      </c>
      <c r="R10" t="str">
        <f>MID(VLOOKUP(MID(IF(LEN(DEC2HEX(C10,4))&gt;=4,MID(TEXT(DEC2HEX(C10,4),"0"),LEN(TEXT(DEC2HEX(C10,4),"0"))-3,4),DEC2HEX(C10,4)),3,1),'двоичные коды'!A$1:B$16,2,0),2,1)</f>
        <v>1</v>
      </c>
      <c r="S10" t="str">
        <f>MID(VLOOKUP(MID(IF(LEN(DEC2HEX(C10,4))&gt;=4,MID(TEXT(DEC2HEX(C10,4),"0"),LEN(TEXT(DEC2HEX(C10,4),"0"))-3,4),DEC2HEX(C10,4)),3,1),'двоичные коды'!A$1:B$16,2,0),3,1)</f>
        <v>0</v>
      </c>
      <c r="T10" t="str">
        <f>MID(VLOOKUP(MID(IF(LEN(DEC2HEX(C10,4))&gt;=4,MID(TEXT(DEC2HEX(C10,4),"0"),LEN(TEXT(DEC2HEX(C10,4),"0"))-3,4),DEC2HEX(C10,4)),3,1),'двоичные коды'!A$1:B$16,2,0),4,1)</f>
        <v>0</v>
      </c>
      <c r="U10" t="s">
        <v>0</v>
      </c>
      <c r="V10" t="str">
        <f>MID(VLOOKUP(MID(IF(LEN(DEC2HEX(C10,4))&gt;=4,MID(TEXT(DEC2HEX(C10,4),"0"),LEN(TEXT(DEC2HEX(C10,4),"0"))-3,4),DEC2HEX(C10,4)),4,1),'двоичные коды'!A$1:B$16,2,0),1,1)</f>
        <v>0</v>
      </c>
      <c r="W10" t="str">
        <f>MID(VLOOKUP(MID(IF(LEN(DEC2HEX(C10,4))&gt;=4,MID(TEXT(DEC2HEX(C10,4),"0"),LEN(TEXT(DEC2HEX(C10,4),"0"))-3,4),DEC2HEX(C10,4)),4,1),'двоичные коды'!A$1:B$16,2,0),2,1)</f>
        <v>0</v>
      </c>
      <c r="X10" t="str">
        <f>MID(VLOOKUP(MID(IF(LEN(DEC2HEX(C10,4))&gt;=4,MID(TEXT(DEC2HEX(C10,4),"0"),LEN(TEXT(DEC2HEX(C10,4),"0"))-3,4),DEC2HEX(C10,4)),4,1),'двоичные коды'!A$1:B$16,2,0),3,1)</f>
        <v>0</v>
      </c>
      <c r="Y10" t="str">
        <f>MID(VLOOKUP(MID(IF(LEN(DEC2HEX(C10,4))&gt;=4,MID(TEXT(DEC2HEX(C10,4),"0"),LEN(TEXT(DEC2HEX(C10,4),"0"))-3,4),DEC2HEX(C10,4)),4,1),'двоичные коды'!A$1:B$16,2,0),4,1)</f>
        <v>1</v>
      </c>
      <c r="AB10" s="4"/>
      <c r="AC10" s="4"/>
      <c r="AD10" s="4"/>
      <c r="AE10" s="4"/>
      <c r="AF10" s="4"/>
    </row>
    <row r="11" spans="1:32">
      <c r="A11" t="s">
        <v>21</v>
      </c>
      <c r="B11" t="s">
        <v>22</v>
      </c>
      <c r="C11">
        <f t="shared" ref="C11:C16" si="0">-C5</f>
        <v>-3307</v>
      </c>
      <c r="E11" t="s">
        <v>23</v>
      </c>
      <c r="F11" t="s">
        <v>24</v>
      </c>
      <c r="G11" t="str">
        <f>MID(VLOOKUP(MID(IF(LEN(DEC2HEX(C11,4))&gt;=4,MID(TEXT(DEC2HEX(C11,4),"0"),LEN(TEXT(DEC2HEX(C11,4),"0"))-3,4),DEC2HEX(C11,4)),1,1),'двоичные коды'!A$1:B$16,2,0),1,1)</f>
        <v>1</v>
      </c>
      <c r="H11" t="str">
        <f>MID(VLOOKUP(MID(IF(LEN(DEC2HEX(C11,4))&gt;=4,MID(TEXT(DEC2HEX(C11,4),"0"),LEN(TEXT(DEC2HEX(C11,4),"0"))-3,4),DEC2HEX(C11,4)),1,1),'двоичные коды'!A$1:B$16,2,0),2,1)</f>
        <v>1</v>
      </c>
      <c r="I11" t="str">
        <f>MID(VLOOKUP(MID(IF(LEN(DEC2HEX(C11,4))&gt;=4,MID(TEXT(DEC2HEX(C11,4),"0"),LEN(TEXT(DEC2HEX(C11,4),"0"))-3,4),DEC2HEX(C11,4)),1,1),'двоичные коды'!A$1:B$16,2,0),3,1)</f>
        <v>1</v>
      </c>
      <c r="J11" t="str">
        <f>MID(VLOOKUP(MID(IF(LEN(DEC2HEX(C11,4))&gt;=4,MID(TEXT(DEC2HEX(C11,4),"0"),LEN(TEXT(DEC2HEX(C11,4),"0"))-3,4),DEC2HEX(C11,4)),1,1),'двоичные коды'!A$1:B$16,2,0),4,1)</f>
        <v>1</v>
      </c>
      <c r="K11" t="s">
        <v>0</v>
      </c>
      <c r="L11" t="str">
        <f>MID(VLOOKUP(MID(IF(LEN(DEC2HEX(C11,4))&gt;=4,MID(TEXT(DEC2HEX(C11,4),"0"),LEN(TEXT(DEC2HEX(C11,4),"0"))-3,4),DEC2HEX(C11,4)),2,1),'двоичные коды'!A$1:B$16,2,0),1,1)</f>
        <v>0</v>
      </c>
      <c r="M11" t="str">
        <f>MID(VLOOKUP(MID(IF(LEN(DEC2HEX(C11,4))&gt;=4,MID(TEXT(DEC2HEX(C11,4),"0"),LEN(TEXT(DEC2HEX(C11,4),"0"))-3,4),DEC2HEX(C11,4)),2,1),'двоичные коды'!A$1:B$16,2,0),2,1)</f>
        <v>0</v>
      </c>
      <c r="N11" t="str">
        <f>MID(VLOOKUP(MID(IF(LEN(DEC2HEX(C11,4))&gt;=4,MID(TEXT(DEC2HEX(C11,4),"0"),LEN(TEXT(DEC2HEX(C11,4),"0"))-3,4),DEC2HEX(C11,4)),2,1),'двоичные коды'!A$1:B$16,2,0),3,1)</f>
        <v>1</v>
      </c>
      <c r="O11" t="str">
        <f>MID(VLOOKUP(MID(IF(LEN(DEC2HEX(C11,4))&gt;=4,MID(TEXT(DEC2HEX(C11,4),"0"),LEN(TEXT(DEC2HEX(C11,4),"0"))-3,4),DEC2HEX(C11,4)),2,1),'двоичные коды'!A$1:B$16,2,0),4,1)</f>
        <v>1</v>
      </c>
      <c r="P11" t="s">
        <v>0</v>
      </c>
      <c r="Q11" t="str">
        <f>MID(VLOOKUP(MID(IF(LEN(DEC2HEX(C11,4))&gt;=4,MID(TEXT(DEC2HEX(C11,4),"0"),LEN(TEXT(DEC2HEX(C11,4),"0"))-3,4),DEC2HEX(C11,4)),3,1),'двоичные коды'!A$1:B$16,2,0),1,1)</f>
        <v>0</v>
      </c>
      <c r="R11" t="str">
        <f>MID(VLOOKUP(MID(IF(LEN(DEC2HEX(C11,4))&gt;=4,MID(TEXT(DEC2HEX(C11,4),"0"),LEN(TEXT(DEC2HEX(C11,4),"0"))-3,4),DEC2HEX(C11,4)),3,1),'двоичные коды'!A$1:B$16,2,0),2,1)</f>
        <v>0</v>
      </c>
      <c r="S11" t="str">
        <f>MID(VLOOKUP(MID(IF(LEN(DEC2HEX(C11,4))&gt;=4,MID(TEXT(DEC2HEX(C11,4),"0"),LEN(TEXT(DEC2HEX(C11,4),"0"))-3,4),DEC2HEX(C11,4)),3,1),'двоичные коды'!A$1:B$16,2,0),3,1)</f>
        <v>0</v>
      </c>
      <c r="T11" t="str">
        <f>MID(VLOOKUP(MID(IF(LEN(DEC2HEX(C11,4))&gt;=4,MID(TEXT(DEC2HEX(C11,4),"0"),LEN(TEXT(DEC2HEX(C11,4),"0"))-3,4),DEC2HEX(C11,4)),3,1),'двоичные коды'!A$1:B$16,2,0),4,1)</f>
        <v>1</v>
      </c>
      <c r="U11" t="s">
        <v>0</v>
      </c>
      <c r="V11" t="str">
        <f>MID(VLOOKUP(MID(IF(LEN(DEC2HEX(C11,4))&gt;=4,MID(TEXT(DEC2HEX(C11,4),"0"),LEN(TEXT(DEC2HEX(C11,4),"0"))-3,4),DEC2HEX(C11,4)),4,1),'двоичные коды'!A$1:B$16,2,0),1,1)</f>
        <v>0</v>
      </c>
      <c r="W11" t="str">
        <f>MID(VLOOKUP(MID(IF(LEN(DEC2HEX(C11,4))&gt;=4,MID(TEXT(DEC2HEX(C11,4),"0"),LEN(TEXT(DEC2HEX(C11,4),"0"))-3,4),DEC2HEX(C11,4)),4,1),'двоичные коды'!A$1:B$16,2,0),2,1)</f>
        <v>1</v>
      </c>
      <c r="X11" t="str">
        <f>MID(VLOOKUP(MID(IF(LEN(DEC2HEX(C11,4))&gt;=4,MID(TEXT(DEC2HEX(C11,4),"0"),LEN(TEXT(DEC2HEX(C11,4),"0"))-3,4),DEC2HEX(C11,4)),4,1),'двоичные коды'!A$1:B$16,2,0),3,1)</f>
        <v>0</v>
      </c>
      <c r="Y11" t="str">
        <f>MID(VLOOKUP(MID(IF(LEN(DEC2HEX(C11,4))&gt;=4,MID(TEXT(DEC2HEX(C11,4),"0"),LEN(TEXT(DEC2HEX(C11,4),"0"))-3,4),DEC2HEX(C11,4)),4,1),'двоичные коды'!A$1:B$16,2,0),4,1)</f>
        <v>1</v>
      </c>
    </row>
    <row r="12" spans="1:32">
      <c r="A12" t="s">
        <v>25</v>
      </c>
      <c r="B12" t="s">
        <v>26</v>
      </c>
      <c r="C12">
        <f t="shared" si="0"/>
        <v>-20458</v>
      </c>
      <c r="E12" t="s">
        <v>27</v>
      </c>
      <c r="F12" t="s">
        <v>28</v>
      </c>
      <c r="G12" t="str">
        <f>MID(VLOOKUP(MID(IF(LEN(DEC2HEX(C12,4))&gt;=4,MID(TEXT(DEC2HEX(C12,4),"0"),LEN(TEXT(DEC2HEX(C12,4),"0"))-3,4),DEC2HEX(C12,4)),1,1),'двоичные коды'!A$1:B$16,2,0),1,1)</f>
        <v>1</v>
      </c>
      <c r="H12" t="str">
        <f>MID(VLOOKUP(MID(IF(LEN(DEC2HEX(C12,4))&gt;=4,MID(TEXT(DEC2HEX(C12,4),"0"),LEN(TEXT(DEC2HEX(C12,4),"0"))-3,4),DEC2HEX(C12,4)),1,1),'двоичные коды'!A$1:B$16,2,0),2,1)</f>
        <v>0</v>
      </c>
      <c r="I12" t="str">
        <f>MID(VLOOKUP(MID(IF(LEN(DEC2HEX(C12,4))&gt;=4,MID(TEXT(DEC2HEX(C12,4),"0"),LEN(TEXT(DEC2HEX(C12,4),"0"))-3,4),DEC2HEX(C12,4)),1,1),'двоичные коды'!A$1:B$16,2,0),3,1)</f>
        <v>1</v>
      </c>
      <c r="J12" t="str">
        <f>MID(VLOOKUP(MID(IF(LEN(DEC2HEX(C12,4))&gt;=4,MID(TEXT(DEC2HEX(C12,4),"0"),LEN(TEXT(DEC2HEX(C12,4),"0"))-3,4),DEC2HEX(C12,4)),1,1),'двоичные коды'!A$1:B$16,2,0),4,1)</f>
        <v>1</v>
      </c>
      <c r="K12" t="s">
        <v>0</v>
      </c>
      <c r="L12" t="str">
        <f>MID(VLOOKUP(MID(IF(LEN(DEC2HEX(C12,4))&gt;=4,MID(TEXT(DEC2HEX(C12,4),"0"),LEN(TEXT(DEC2HEX(C12,4),"0"))-3,4),DEC2HEX(C12,4)),2,1),'двоичные коды'!A$1:B$16,2,0),1,1)</f>
        <v>0</v>
      </c>
      <c r="M12" t="str">
        <f>MID(VLOOKUP(MID(IF(LEN(DEC2HEX(C12,4))&gt;=4,MID(TEXT(DEC2HEX(C12,4),"0"),LEN(TEXT(DEC2HEX(C12,4),"0"))-3,4),DEC2HEX(C12,4)),2,1),'двоичные коды'!A$1:B$16,2,0),2,1)</f>
        <v>0</v>
      </c>
      <c r="N12" t="str">
        <f>MID(VLOOKUP(MID(IF(LEN(DEC2HEX(C12,4))&gt;=4,MID(TEXT(DEC2HEX(C12,4),"0"),LEN(TEXT(DEC2HEX(C12,4),"0"))-3,4),DEC2HEX(C12,4)),2,1),'двоичные коды'!A$1:B$16,2,0),3,1)</f>
        <v>0</v>
      </c>
      <c r="O12" t="str">
        <f>MID(VLOOKUP(MID(IF(LEN(DEC2HEX(C12,4))&gt;=4,MID(TEXT(DEC2HEX(C12,4),"0"),LEN(TEXT(DEC2HEX(C12,4),"0"))-3,4),DEC2HEX(C12,4)),2,1),'двоичные коды'!A$1:B$16,2,0),4,1)</f>
        <v>0</v>
      </c>
      <c r="P12" t="s">
        <v>0</v>
      </c>
      <c r="Q12" t="str">
        <f>MID(VLOOKUP(MID(IF(LEN(DEC2HEX(C12,4))&gt;=4,MID(TEXT(DEC2HEX(C12,4),"0"),LEN(TEXT(DEC2HEX(C12,4),"0"))-3,4),DEC2HEX(C12,4)),3,1),'двоичные коды'!A$1:B$16,2,0),1,1)</f>
        <v>0</v>
      </c>
      <c r="R12" t="str">
        <f>MID(VLOOKUP(MID(IF(LEN(DEC2HEX(C12,4))&gt;=4,MID(TEXT(DEC2HEX(C12,4),"0"),LEN(TEXT(DEC2HEX(C12,4),"0"))-3,4),DEC2HEX(C12,4)),3,1),'двоичные коды'!A$1:B$16,2,0),2,1)</f>
        <v>0</v>
      </c>
      <c r="S12" t="str">
        <f>MID(VLOOKUP(MID(IF(LEN(DEC2HEX(C12,4))&gt;=4,MID(TEXT(DEC2HEX(C12,4),"0"),LEN(TEXT(DEC2HEX(C12,4),"0"))-3,4),DEC2HEX(C12,4)),3,1),'двоичные коды'!A$1:B$16,2,0),3,1)</f>
        <v>0</v>
      </c>
      <c r="T12" t="str">
        <f>MID(VLOOKUP(MID(IF(LEN(DEC2HEX(C12,4))&gt;=4,MID(TEXT(DEC2HEX(C12,4),"0"),LEN(TEXT(DEC2HEX(C12,4),"0"))-3,4),DEC2HEX(C12,4)),3,1),'двоичные коды'!A$1:B$16,2,0),4,1)</f>
        <v>1</v>
      </c>
      <c r="U12" t="s">
        <v>0</v>
      </c>
      <c r="V12" t="str">
        <f>MID(VLOOKUP(MID(IF(LEN(DEC2HEX(C12,4))&gt;=4,MID(TEXT(DEC2HEX(C12,4),"0"),LEN(TEXT(DEC2HEX(C12,4),"0"))-3,4),DEC2HEX(C12,4)),4,1),'двоичные коды'!A$1:B$16,2,0),1,1)</f>
        <v>0</v>
      </c>
      <c r="W12" t="str">
        <f>MID(VLOOKUP(MID(IF(LEN(DEC2HEX(C12,4))&gt;=4,MID(TEXT(DEC2HEX(C12,4),"0"),LEN(TEXT(DEC2HEX(C12,4),"0"))-3,4),DEC2HEX(C12,4)),4,1),'двоичные коды'!A$1:B$16,2,0),2,1)</f>
        <v>1</v>
      </c>
      <c r="X12" t="str">
        <f>MID(VLOOKUP(MID(IF(LEN(DEC2HEX(C12,4))&gt;=4,MID(TEXT(DEC2HEX(C12,4),"0"),LEN(TEXT(DEC2HEX(C12,4),"0"))-3,4),DEC2HEX(C12,4)),4,1),'двоичные коды'!A$1:B$16,2,0),3,1)</f>
        <v>1</v>
      </c>
      <c r="Y12" t="str">
        <f>MID(VLOOKUP(MID(IF(LEN(DEC2HEX(C12,4))&gt;=4,MID(TEXT(DEC2HEX(C12,4),"0"),LEN(TEXT(DEC2HEX(C12,4),"0"))-3,4),DEC2HEX(C12,4)),4,1),'двоичные коды'!A$1:B$16,2,0),4,1)</f>
        <v>0</v>
      </c>
    </row>
    <row r="13" spans="1:32">
      <c r="A13" t="s">
        <v>29</v>
      </c>
      <c r="B13" t="s">
        <v>30</v>
      </c>
      <c r="C13">
        <f t="shared" si="0"/>
        <v>-23765</v>
      </c>
      <c r="E13" t="s">
        <v>31</v>
      </c>
      <c r="F13" t="s">
        <v>32</v>
      </c>
      <c r="G13" t="str">
        <f>MID(VLOOKUP(MID(IF(LEN(DEC2HEX(C13,4))&gt;=4,MID(TEXT(DEC2HEX(C13,4),"0"),LEN(TEXT(DEC2HEX(C13,4),"0"))-3,4),DEC2HEX(C13,4)),1,1),'двоичные коды'!A$1:B$16,2,0),1,1)</f>
        <v>1</v>
      </c>
      <c r="H13" t="str">
        <f>MID(VLOOKUP(MID(IF(LEN(DEC2HEX(C13,4))&gt;=4,MID(TEXT(DEC2HEX(C13,4),"0"),LEN(TEXT(DEC2HEX(C13,4),"0"))-3,4),DEC2HEX(C13,4)),1,1),'двоичные коды'!A$1:B$16,2,0),2,1)</f>
        <v>0</v>
      </c>
      <c r="I13" t="str">
        <f>MID(VLOOKUP(MID(IF(LEN(DEC2HEX(C13,4))&gt;=4,MID(TEXT(DEC2HEX(C13,4),"0"),LEN(TEXT(DEC2HEX(C13,4),"0"))-3,4),DEC2HEX(C13,4)),1,1),'двоичные коды'!A$1:B$16,2,0),3,1)</f>
        <v>1</v>
      </c>
      <c r="J13" t="str">
        <f>MID(VLOOKUP(MID(IF(LEN(DEC2HEX(C13,4))&gt;=4,MID(TEXT(DEC2HEX(C13,4),"0"),LEN(TEXT(DEC2HEX(C13,4),"0"))-3,4),DEC2HEX(C13,4)),1,1),'двоичные коды'!A$1:B$16,2,0),4,1)</f>
        <v>0</v>
      </c>
      <c r="K13" t="s">
        <v>0</v>
      </c>
      <c r="L13" t="str">
        <f>MID(VLOOKUP(MID(IF(LEN(DEC2HEX(C13,4))&gt;=4,MID(TEXT(DEC2HEX(C13,4),"0"),LEN(TEXT(DEC2HEX(C13,4),"0"))-3,4),DEC2HEX(C13,4)),2,1),'двоичные коды'!A$1:B$16,2,0),1,1)</f>
        <v>0</v>
      </c>
      <c r="M13" t="str">
        <f>MID(VLOOKUP(MID(IF(LEN(DEC2HEX(C13,4))&gt;=4,MID(TEXT(DEC2HEX(C13,4),"0"),LEN(TEXT(DEC2HEX(C13,4),"0"))-3,4),DEC2HEX(C13,4)),2,1),'двоичные коды'!A$1:B$16,2,0),2,1)</f>
        <v>0</v>
      </c>
      <c r="N13" t="str">
        <f>MID(VLOOKUP(MID(IF(LEN(DEC2HEX(C13,4))&gt;=4,MID(TEXT(DEC2HEX(C13,4),"0"),LEN(TEXT(DEC2HEX(C13,4),"0"))-3,4),DEC2HEX(C13,4)),2,1),'двоичные коды'!A$1:B$16,2,0),3,1)</f>
        <v>1</v>
      </c>
      <c r="O13" t="str">
        <f>MID(VLOOKUP(MID(IF(LEN(DEC2HEX(C13,4))&gt;=4,MID(TEXT(DEC2HEX(C13,4),"0"),LEN(TEXT(DEC2HEX(C13,4),"0"))-3,4),DEC2HEX(C13,4)),2,1),'двоичные коды'!A$1:B$16,2,0),4,1)</f>
        <v>1</v>
      </c>
      <c r="P13" t="s">
        <v>0</v>
      </c>
      <c r="Q13" t="str">
        <f>MID(VLOOKUP(MID(IF(LEN(DEC2HEX(C13,4))&gt;=4,MID(TEXT(DEC2HEX(C13,4),"0"),LEN(TEXT(DEC2HEX(C13,4),"0"))-3,4),DEC2HEX(C13,4)),3,1),'двоичные коды'!A$1:B$16,2,0),1,1)</f>
        <v>0</v>
      </c>
      <c r="R13" t="str">
        <f>MID(VLOOKUP(MID(IF(LEN(DEC2HEX(C13,4))&gt;=4,MID(TEXT(DEC2HEX(C13,4),"0"),LEN(TEXT(DEC2HEX(C13,4),"0"))-3,4),DEC2HEX(C13,4)),3,1),'двоичные коды'!A$1:B$16,2,0),2,1)</f>
        <v>0</v>
      </c>
      <c r="S13" t="str">
        <f>MID(VLOOKUP(MID(IF(LEN(DEC2HEX(C13,4))&gt;=4,MID(TEXT(DEC2HEX(C13,4),"0"),LEN(TEXT(DEC2HEX(C13,4),"0"))-3,4),DEC2HEX(C13,4)),3,1),'двоичные коды'!A$1:B$16,2,0),3,1)</f>
        <v>1</v>
      </c>
      <c r="T13" t="str">
        <f>MID(VLOOKUP(MID(IF(LEN(DEC2HEX(C13,4))&gt;=4,MID(TEXT(DEC2HEX(C13,4),"0"),LEN(TEXT(DEC2HEX(C13,4),"0"))-3,4),DEC2HEX(C13,4)),3,1),'двоичные коды'!A$1:B$16,2,0),4,1)</f>
        <v>0</v>
      </c>
      <c r="U13" t="s">
        <v>0</v>
      </c>
      <c r="V13" t="str">
        <f>MID(VLOOKUP(MID(IF(LEN(DEC2HEX(C13,4))&gt;=4,MID(TEXT(DEC2HEX(C13,4),"0"),LEN(TEXT(DEC2HEX(C13,4),"0"))-3,4),DEC2HEX(C13,4)),4,1),'двоичные коды'!A$1:B$16,2,0),1,1)</f>
        <v>1</v>
      </c>
      <c r="W13" t="str">
        <f>MID(VLOOKUP(MID(IF(LEN(DEC2HEX(C13,4))&gt;=4,MID(TEXT(DEC2HEX(C13,4),"0"),LEN(TEXT(DEC2HEX(C13,4),"0"))-3,4),DEC2HEX(C13,4)),4,1),'двоичные коды'!A$1:B$16,2,0),2,1)</f>
        <v>0</v>
      </c>
      <c r="X13" t="str">
        <f>MID(VLOOKUP(MID(IF(LEN(DEC2HEX(C13,4))&gt;=4,MID(TEXT(DEC2HEX(C13,4),"0"),LEN(TEXT(DEC2HEX(C13,4),"0"))-3,4),DEC2HEX(C13,4)),4,1),'двоичные коды'!A$1:B$16,2,0),3,1)</f>
        <v>1</v>
      </c>
      <c r="Y13" t="str">
        <f>MID(VLOOKUP(MID(IF(LEN(DEC2HEX(C13,4))&gt;=4,MID(TEXT(DEC2HEX(C13,4),"0"),LEN(TEXT(DEC2HEX(C13,4),"0"))-3,4),DEC2HEX(C13,4)),4,1),'двоичные коды'!A$1:B$16,2,0),4,1)</f>
        <v>1</v>
      </c>
    </row>
    <row r="14" spans="1:32">
      <c r="A14" t="s">
        <v>33</v>
      </c>
      <c r="B14" t="s">
        <v>34</v>
      </c>
      <c r="C14">
        <f t="shared" si="0"/>
        <v>-44223</v>
      </c>
      <c r="E14" t="s">
        <v>35</v>
      </c>
      <c r="F14" t="s">
        <v>36</v>
      </c>
      <c r="G14" t="str">
        <f>MID(VLOOKUP(MID(IF(LEN(DEC2HEX(C14,4))&gt;=4,MID(TEXT(DEC2HEX(C14,4),"0"),LEN(TEXT(DEC2HEX(C14,4),"0"))-3,4),DEC2HEX(C14,4)),1,1),'двоичные коды'!A$1:B$16,2,0),1,1)</f>
        <v>0</v>
      </c>
      <c r="H14" t="str">
        <f>MID(VLOOKUP(MID(IF(LEN(DEC2HEX(C14,4))&gt;=4,MID(TEXT(DEC2HEX(C14,4),"0"),LEN(TEXT(DEC2HEX(C14,4),"0"))-3,4),DEC2HEX(C14,4)),1,1),'двоичные коды'!A$1:B$16,2,0),2,1)</f>
        <v>1</v>
      </c>
      <c r="I14" t="str">
        <f>MID(VLOOKUP(MID(IF(LEN(DEC2HEX(C14,4))&gt;=4,MID(TEXT(DEC2HEX(C14,4),"0"),LEN(TEXT(DEC2HEX(C14,4),"0"))-3,4),DEC2HEX(C14,4)),1,1),'двоичные коды'!A$1:B$16,2,0),3,1)</f>
        <v>0</v>
      </c>
      <c r="J14" t="str">
        <f>MID(VLOOKUP(MID(IF(LEN(DEC2HEX(C14,4))&gt;=4,MID(TEXT(DEC2HEX(C14,4),"0"),LEN(TEXT(DEC2HEX(C14,4),"0"))-3,4),DEC2HEX(C14,4)),1,1),'двоичные коды'!A$1:B$16,2,0),4,1)</f>
        <v>1</v>
      </c>
      <c r="K14" t="s">
        <v>0</v>
      </c>
      <c r="L14" t="str">
        <f>MID(VLOOKUP(MID(IF(LEN(DEC2HEX(C14,4))&gt;=4,MID(TEXT(DEC2HEX(C14,4),"0"),LEN(TEXT(DEC2HEX(C14,4),"0"))-3,4),DEC2HEX(C14,4)),2,1),'двоичные коды'!A$1:B$16,2,0),1,1)</f>
        <v>0</v>
      </c>
      <c r="M14" t="str">
        <f>MID(VLOOKUP(MID(IF(LEN(DEC2HEX(C14,4))&gt;=4,MID(TEXT(DEC2HEX(C14,4),"0"),LEN(TEXT(DEC2HEX(C14,4),"0"))-3,4),DEC2HEX(C14,4)),2,1),'двоичные коды'!A$1:B$16,2,0),2,1)</f>
        <v>0</v>
      </c>
      <c r="N14" t="str">
        <f>MID(VLOOKUP(MID(IF(LEN(DEC2HEX(C14,4))&gt;=4,MID(TEXT(DEC2HEX(C14,4),"0"),LEN(TEXT(DEC2HEX(C14,4),"0"))-3,4),DEC2HEX(C14,4)),2,1),'двоичные коды'!A$1:B$16,2,0),3,1)</f>
        <v>1</v>
      </c>
      <c r="O14" t="str">
        <f>MID(VLOOKUP(MID(IF(LEN(DEC2HEX(C14,4))&gt;=4,MID(TEXT(DEC2HEX(C14,4),"0"),LEN(TEXT(DEC2HEX(C14,4),"0"))-3,4),DEC2HEX(C14,4)),2,1),'двоичные коды'!A$1:B$16,2,0),4,1)</f>
        <v>1</v>
      </c>
      <c r="P14" t="s">
        <v>0</v>
      </c>
      <c r="Q14" t="str">
        <f>MID(VLOOKUP(MID(IF(LEN(DEC2HEX(C14,4))&gt;=4,MID(TEXT(DEC2HEX(C14,4),"0"),LEN(TEXT(DEC2HEX(C14,4),"0"))-3,4),DEC2HEX(C14,4)),3,1),'двоичные коды'!A$1:B$16,2,0),1,1)</f>
        <v>0</v>
      </c>
      <c r="R14" t="str">
        <f>MID(VLOOKUP(MID(IF(LEN(DEC2HEX(C14,4))&gt;=4,MID(TEXT(DEC2HEX(C14,4),"0"),LEN(TEXT(DEC2HEX(C14,4),"0"))-3,4),DEC2HEX(C14,4)),3,1),'двоичные коды'!A$1:B$16,2,0),2,1)</f>
        <v>1</v>
      </c>
      <c r="S14" t="str">
        <f>MID(VLOOKUP(MID(IF(LEN(DEC2HEX(C14,4))&gt;=4,MID(TEXT(DEC2HEX(C14,4),"0"),LEN(TEXT(DEC2HEX(C14,4),"0"))-3,4),DEC2HEX(C14,4)),3,1),'двоичные коды'!A$1:B$16,2,0),3,1)</f>
        <v>0</v>
      </c>
      <c r="T14" t="str">
        <f>MID(VLOOKUP(MID(IF(LEN(DEC2HEX(C14,4))&gt;=4,MID(TEXT(DEC2HEX(C14,4),"0"),LEN(TEXT(DEC2HEX(C14,4),"0"))-3,4),DEC2HEX(C14,4)),3,1),'двоичные коды'!A$1:B$16,2,0),4,1)</f>
        <v>0</v>
      </c>
      <c r="U14" t="s">
        <v>0</v>
      </c>
      <c r="V14" t="str">
        <f>MID(VLOOKUP(MID(IF(LEN(DEC2HEX(C14,4))&gt;=4,MID(TEXT(DEC2HEX(C14,4),"0"),LEN(TEXT(DEC2HEX(C14,4),"0"))-3,4),DEC2HEX(C14,4)),4,1),'двоичные коды'!A$1:B$16,2,0),1,1)</f>
        <v>0</v>
      </c>
      <c r="W14" t="str">
        <f>MID(VLOOKUP(MID(IF(LEN(DEC2HEX(C14,4))&gt;=4,MID(TEXT(DEC2HEX(C14,4),"0"),LEN(TEXT(DEC2HEX(C14,4),"0"))-3,4),DEC2HEX(C14,4)),4,1),'двоичные коды'!A$1:B$16,2,0),2,1)</f>
        <v>0</v>
      </c>
      <c r="X14" t="str">
        <f>MID(VLOOKUP(MID(IF(LEN(DEC2HEX(C14,4))&gt;=4,MID(TEXT(DEC2HEX(C14,4),"0"),LEN(TEXT(DEC2HEX(C14,4),"0"))-3,4),DEC2HEX(C14,4)),4,1),'двоичные коды'!A$1:B$16,2,0),3,1)</f>
        <v>0</v>
      </c>
      <c r="Y14" t="str">
        <f>MID(VLOOKUP(MID(IF(LEN(DEC2HEX(C14,4))&gt;=4,MID(TEXT(DEC2HEX(C14,4),"0"),LEN(TEXT(DEC2HEX(C14,4),"0"))-3,4),DEC2HEX(C14,4)),4,1),'двоичные коды'!A$1:B$16,2,0),4,1)</f>
        <v>1</v>
      </c>
    </row>
    <row r="15" spans="1:32">
      <c r="A15" t="s">
        <v>37</v>
      </c>
      <c r="B15" t="s">
        <v>38</v>
      </c>
      <c r="C15">
        <f t="shared" si="0"/>
        <v>-17151</v>
      </c>
      <c r="E15" t="s">
        <v>39</v>
      </c>
      <c r="F15" t="s">
        <v>40</v>
      </c>
      <c r="G15" t="str">
        <f>MID(VLOOKUP(MID(IF(LEN(DEC2HEX(C15,4))&gt;=4,MID(TEXT(DEC2HEX(C15,4),"0"),LEN(TEXT(DEC2HEX(C15,4),"0"))-3,4),DEC2HEX(C15,4)),1,1),'двоичные коды'!A$1:B$16,2,0),1,1)</f>
        <v>1</v>
      </c>
      <c r="H15" t="str">
        <f>MID(VLOOKUP(MID(IF(LEN(DEC2HEX(C15,4))&gt;=4,MID(TEXT(DEC2HEX(C15,4),"0"),LEN(TEXT(DEC2HEX(C15,4),"0"))-3,4),DEC2HEX(C15,4)),1,1),'двоичные коды'!A$1:B$16,2,0),2,1)</f>
        <v>0</v>
      </c>
      <c r="I15" t="str">
        <f>MID(VLOOKUP(MID(IF(LEN(DEC2HEX(C15,4))&gt;=4,MID(TEXT(DEC2HEX(C15,4),"0"),LEN(TEXT(DEC2HEX(C15,4),"0"))-3,4),DEC2HEX(C15,4)),1,1),'двоичные коды'!A$1:B$16,2,0),3,1)</f>
        <v>1</v>
      </c>
      <c r="J15" t="str">
        <f>MID(VLOOKUP(MID(IF(LEN(DEC2HEX(C15,4))&gt;=4,MID(TEXT(DEC2HEX(C15,4),"0"),LEN(TEXT(DEC2HEX(C15,4),"0"))-3,4),DEC2HEX(C15,4)),1,1),'двоичные коды'!A$1:B$16,2,0),4,1)</f>
        <v>1</v>
      </c>
      <c r="K15" t="s">
        <v>0</v>
      </c>
      <c r="L15" t="str">
        <f>MID(VLOOKUP(MID(IF(LEN(DEC2HEX(C15,4))&gt;=4,MID(TEXT(DEC2HEX(C15,4),"0"),LEN(TEXT(DEC2HEX(C15,4),"0"))-3,4),DEC2HEX(C15,4)),2,1),'двоичные коды'!A$1:B$16,2,0),1,1)</f>
        <v>1</v>
      </c>
      <c r="M15" t="str">
        <f>MID(VLOOKUP(MID(IF(LEN(DEC2HEX(C15,4))&gt;=4,MID(TEXT(DEC2HEX(C15,4),"0"),LEN(TEXT(DEC2HEX(C15,4),"0"))-3,4),DEC2HEX(C15,4)),2,1),'двоичные коды'!A$1:B$16,2,0),2,1)</f>
        <v>1</v>
      </c>
      <c r="N15" t="str">
        <f>MID(VLOOKUP(MID(IF(LEN(DEC2HEX(C15,4))&gt;=4,MID(TEXT(DEC2HEX(C15,4),"0"),LEN(TEXT(DEC2HEX(C15,4),"0"))-3,4),DEC2HEX(C15,4)),2,1),'двоичные коды'!A$1:B$16,2,0),3,1)</f>
        <v>0</v>
      </c>
      <c r="O15" t="str">
        <f>MID(VLOOKUP(MID(IF(LEN(DEC2HEX(C15,4))&gt;=4,MID(TEXT(DEC2HEX(C15,4),"0"),LEN(TEXT(DEC2HEX(C15,4),"0"))-3,4),DEC2HEX(C15,4)),2,1),'двоичные коды'!A$1:B$16,2,0),4,1)</f>
        <v>1</v>
      </c>
      <c r="P15" t="s">
        <v>0</v>
      </c>
      <c r="Q15" t="str">
        <f>MID(VLOOKUP(MID(IF(LEN(DEC2HEX(C15,4))&gt;=4,MID(TEXT(DEC2HEX(C15,4),"0"),LEN(TEXT(DEC2HEX(C15,4),"0"))-3,4),DEC2HEX(C15,4)),3,1),'двоичные коды'!A$1:B$16,2,0),1,1)</f>
        <v>0</v>
      </c>
      <c r="R15" t="str">
        <f>MID(VLOOKUP(MID(IF(LEN(DEC2HEX(C15,4))&gt;=4,MID(TEXT(DEC2HEX(C15,4),"0"),LEN(TEXT(DEC2HEX(C15,4),"0"))-3,4),DEC2HEX(C15,4)),3,1),'двоичные коды'!A$1:B$16,2,0),2,1)</f>
        <v>0</v>
      </c>
      <c r="S15" t="str">
        <f>MID(VLOOKUP(MID(IF(LEN(DEC2HEX(C15,4))&gt;=4,MID(TEXT(DEC2HEX(C15,4),"0"),LEN(TEXT(DEC2HEX(C15,4),"0"))-3,4),DEC2HEX(C15,4)),3,1),'двоичные коды'!A$1:B$16,2,0),3,1)</f>
        <v>0</v>
      </c>
      <c r="T15" t="str">
        <f>MID(VLOOKUP(MID(IF(LEN(DEC2HEX(C15,4))&gt;=4,MID(TEXT(DEC2HEX(C15,4),"0"),LEN(TEXT(DEC2HEX(C15,4),"0"))-3,4),DEC2HEX(C15,4)),3,1),'двоичные коды'!A$1:B$16,2,0),4,1)</f>
        <v>0</v>
      </c>
      <c r="U15" t="s">
        <v>0</v>
      </c>
      <c r="V15" t="str">
        <f>MID(VLOOKUP(MID(IF(LEN(DEC2HEX(C15,4))&gt;=4,MID(TEXT(DEC2HEX(C15,4),"0"),LEN(TEXT(DEC2HEX(C15,4),"0"))-3,4),DEC2HEX(C15,4)),4,1),'двоичные коды'!A$1:B$16,2,0),1,1)</f>
        <v>0</v>
      </c>
      <c r="W15" t="str">
        <f>MID(VLOOKUP(MID(IF(LEN(DEC2HEX(C15,4))&gt;=4,MID(TEXT(DEC2HEX(C15,4),"0"),LEN(TEXT(DEC2HEX(C15,4),"0"))-3,4),DEC2HEX(C15,4)),4,1),'двоичные коды'!A$1:B$16,2,0),2,1)</f>
        <v>0</v>
      </c>
      <c r="X15" t="str">
        <f>MID(VLOOKUP(MID(IF(LEN(DEC2HEX(C15,4))&gt;=4,MID(TEXT(DEC2HEX(C15,4),"0"),LEN(TEXT(DEC2HEX(C15,4),"0"))-3,4),DEC2HEX(C15,4)),4,1),'двоичные коды'!A$1:B$16,2,0),3,1)</f>
        <v>0</v>
      </c>
      <c r="Y15" t="str">
        <f>MID(VLOOKUP(MID(IF(LEN(DEC2HEX(C15,4))&gt;=4,MID(TEXT(DEC2HEX(C15,4),"0"),LEN(TEXT(DEC2HEX(C15,4),"0"))-3,4),DEC2HEX(C15,4)),4,1),'двоичные коды'!A$1:B$16,2,0),4,1)</f>
        <v>1</v>
      </c>
    </row>
    <row r="16" spans="1:32">
      <c r="A16" t="s">
        <v>41</v>
      </c>
      <c r="B16" t="s">
        <v>42</v>
      </c>
      <c r="C16">
        <f t="shared" si="0"/>
        <v>-21313</v>
      </c>
      <c r="E16" t="s">
        <v>43</v>
      </c>
      <c r="F16" t="s">
        <v>44</v>
      </c>
      <c r="G16" t="str">
        <f>MID(VLOOKUP(MID(IF(LEN(DEC2HEX(C16,4))&gt;=4,MID(TEXT(DEC2HEX(C16,4),"0"),LEN(TEXT(DEC2HEX(C16,4),"0"))-3,4),DEC2HEX(C16,4)),1,1),'двоичные коды'!A$1:B$16,2,0),1,1)</f>
        <v>1</v>
      </c>
      <c r="H16" t="str">
        <f>MID(VLOOKUP(MID(IF(LEN(DEC2HEX(C16,4))&gt;=4,MID(TEXT(DEC2HEX(C16,4),"0"),LEN(TEXT(DEC2HEX(C16,4),"0"))-3,4),DEC2HEX(C16,4)),1,1),'двоичные коды'!A$1:B$16,2,0),2,1)</f>
        <v>0</v>
      </c>
      <c r="I16" t="str">
        <f>MID(VLOOKUP(MID(IF(LEN(DEC2HEX(C16,4))&gt;=4,MID(TEXT(DEC2HEX(C16,4),"0"),LEN(TEXT(DEC2HEX(C16,4),"0"))-3,4),DEC2HEX(C16,4)),1,1),'двоичные коды'!A$1:B$16,2,0),3,1)</f>
        <v>1</v>
      </c>
      <c r="J16" t="str">
        <f>MID(VLOOKUP(MID(IF(LEN(DEC2HEX(C16,4))&gt;=4,MID(TEXT(DEC2HEX(C16,4),"0"),LEN(TEXT(DEC2HEX(C16,4),"0"))-3,4),DEC2HEX(C16,4)),1,1),'двоичные коды'!A$1:B$16,2,0),4,1)</f>
        <v>0</v>
      </c>
      <c r="K16" t="s">
        <v>0</v>
      </c>
      <c r="L16" t="str">
        <f>MID(VLOOKUP(MID(IF(LEN(DEC2HEX(C16,4))&gt;=4,MID(TEXT(DEC2HEX(C16,4),"0"),LEN(TEXT(DEC2HEX(C16,4),"0"))-3,4),DEC2HEX(C16,4)),2,1),'двоичные коды'!A$1:B$16,2,0),1,1)</f>
        <v>1</v>
      </c>
      <c r="M16" t="str">
        <f>MID(VLOOKUP(MID(IF(LEN(DEC2HEX(C16,4))&gt;=4,MID(TEXT(DEC2HEX(C16,4),"0"),LEN(TEXT(DEC2HEX(C16,4),"0"))-3,4),DEC2HEX(C16,4)),2,1),'двоичные коды'!A$1:B$16,2,0),2,1)</f>
        <v>1</v>
      </c>
      <c r="N16" t="str">
        <f>MID(VLOOKUP(MID(IF(LEN(DEC2HEX(C16,4))&gt;=4,MID(TEXT(DEC2HEX(C16,4),"0"),LEN(TEXT(DEC2HEX(C16,4),"0"))-3,4),DEC2HEX(C16,4)),2,1),'двоичные коды'!A$1:B$16,2,0),3,1)</f>
        <v>0</v>
      </c>
      <c r="O16" t="str">
        <f>MID(VLOOKUP(MID(IF(LEN(DEC2HEX(C16,4))&gt;=4,MID(TEXT(DEC2HEX(C16,4),"0"),LEN(TEXT(DEC2HEX(C16,4),"0"))-3,4),DEC2HEX(C16,4)),2,1),'двоичные коды'!A$1:B$16,2,0),4,1)</f>
        <v>0</v>
      </c>
      <c r="P16" t="s">
        <v>0</v>
      </c>
      <c r="Q16" t="str">
        <f>MID(VLOOKUP(MID(IF(LEN(DEC2HEX(C16,4))&gt;=4,MID(TEXT(DEC2HEX(C16,4),"0"),LEN(TEXT(DEC2HEX(C16,4),"0"))-3,4),DEC2HEX(C16,4)),3,1),'двоичные коды'!A$1:B$16,2,0),1,1)</f>
        <v>1</v>
      </c>
      <c r="R16" t="str">
        <f>MID(VLOOKUP(MID(IF(LEN(DEC2HEX(C16,4))&gt;=4,MID(TEXT(DEC2HEX(C16,4),"0"),LEN(TEXT(DEC2HEX(C16,4),"0"))-3,4),DEC2HEX(C16,4)),3,1),'двоичные коды'!A$1:B$16,2,0),2,1)</f>
        <v>0</v>
      </c>
      <c r="S16" t="str">
        <f>MID(VLOOKUP(MID(IF(LEN(DEC2HEX(C16,4))&gt;=4,MID(TEXT(DEC2HEX(C16,4),"0"),LEN(TEXT(DEC2HEX(C16,4),"0"))-3,4),DEC2HEX(C16,4)),3,1),'двоичные коды'!A$1:B$16,2,0),3,1)</f>
        <v>1</v>
      </c>
      <c r="T16" t="str">
        <f>MID(VLOOKUP(MID(IF(LEN(DEC2HEX(C16,4))&gt;=4,MID(TEXT(DEC2HEX(C16,4),"0"),LEN(TEXT(DEC2HEX(C16,4),"0"))-3,4),DEC2HEX(C16,4)),3,1),'двоичные коды'!A$1:B$16,2,0),4,1)</f>
        <v>1</v>
      </c>
      <c r="U16" t="s">
        <v>0</v>
      </c>
      <c r="V16" t="str">
        <f>MID(VLOOKUP(MID(IF(LEN(DEC2HEX(C16,4))&gt;=4,MID(TEXT(DEC2HEX(C16,4),"0"),LEN(TEXT(DEC2HEX(C16,4),"0"))-3,4),DEC2HEX(C16,4)),4,1),'двоичные коды'!A$1:B$16,2,0),1,1)</f>
        <v>1</v>
      </c>
      <c r="W16" t="str">
        <f>MID(VLOOKUP(MID(IF(LEN(DEC2HEX(C16,4))&gt;=4,MID(TEXT(DEC2HEX(C16,4),"0"),LEN(TEXT(DEC2HEX(C16,4),"0"))-3,4),DEC2HEX(C16,4)),4,1),'двоичные коды'!A$1:B$16,2,0),2,1)</f>
        <v>1</v>
      </c>
      <c r="X16" t="str">
        <f>MID(VLOOKUP(MID(IF(LEN(DEC2HEX(C16,4))&gt;=4,MID(TEXT(DEC2HEX(C16,4),"0"),LEN(TEXT(DEC2HEX(C16,4),"0"))-3,4),DEC2HEX(C16,4)),4,1),'двоичные коды'!A$1:B$16,2,0),3,1)</f>
        <v>1</v>
      </c>
      <c r="Y16" t="str">
        <f>MID(VLOOKUP(MID(IF(LEN(DEC2HEX(C16,4))&gt;=4,MID(TEXT(DEC2HEX(C16,4),"0"),LEN(TEXT(DEC2HEX(C16,4),"0"))-3,4),DEC2HEX(C16,4)),4,1),'двоичные коды'!A$1:B$16,2,0),4,1)</f>
        <v>1</v>
      </c>
    </row>
    <row r="18" spans="4:35" ht="13.2" customHeight="1"/>
    <row r="19" spans="4:35" ht="52.8">
      <c r="E19" t="s">
        <v>45</v>
      </c>
      <c r="G19" t="str">
        <f t="shared" ref="G19:Y19" si="1">G5</f>
        <v>0</v>
      </c>
      <c r="H19" t="str">
        <f t="shared" si="1"/>
        <v>0</v>
      </c>
      <c r="I19" t="str">
        <f t="shared" si="1"/>
        <v>0</v>
      </c>
      <c r="J19" t="str">
        <f t="shared" si="1"/>
        <v>0</v>
      </c>
      <c r="K19" t="str">
        <f t="shared" si="1"/>
        <v>.</v>
      </c>
      <c r="L19" t="str">
        <f t="shared" si="1"/>
        <v>1</v>
      </c>
      <c r="M19" t="str">
        <f t="shared" si="1"/>
        <v>1</v>
      </c>
      <c r="N19" t="str">
        <f t="shared" si="1"/>
        <v>0</v>
      </c>
      <c r="O19" t="str">
        <f t="shared" si="1"/>
        <v>0</v>
      </c>
      <c r="P19" t="str">
        <f t="shared" si="1"/>
        <v>.</v>
      </c>
      <c r="Q19" t="str">
        <f t="shared" si="1"/>
        <v>1</v>
      </c>
      <c r="R19" t="str">
        <f t="shared" si="1"/>
        <v>1</v>
      </c>
      <c r="S19" t="str">
        <f t="shared" si="1"/>
        <v>1</v>
      </c>
      <c r="T19" t="str">
        <f t="shared" si="1"/>
        <v>0</v>
      </c>
      <c r="U19" t="str">
        <f t="shared" si="1"/>
        <v>.</v>
      </c>
      <c r="V19" t="str">
        <f t="shared" si="1"/>
        <v>1</v>
      </c>
      <c r="W19" t="str">
        <f t="shared" si="1"/>
        <v>0</v>
      </c>
      <c r="X19" t="str">
        <f t="shared" si="1"/>
        <v>1</v>
      </c>
      <c r="Y19" t="str">
        <f t="shared" si="1"/>
        <v>1</v>
      </c>
      <c r="AE19" t="s">
        <v>46</v>
      </c>
      <c r="AG19">
        <f>C5</f>
        <v>3307</v>
      </c>
      <c r="AI19" s="10" t="str">
        <f>VLOOKUP(IF(AND(AG19&gt;0,AG20&gt;0),IF(AA22&gt;0,1,2),IF(AND(AG19&lt;0,AG20&lt;0),IF(AA22&lt;0,5,6),IF(AA22&gt;0,4,3))),Комментарии!A1:B6,2,0)</f>
        <v>При сложении двух положительных слагаемых
получено положительное число.
Результат выполнения операции верный и корректный, 
совпадает с суммой десятичных эквивалентов.</v>
      </c>
    </row>
    <row r="20" spans="4:35">
      <c r="D20" t="s">
        <v>47</v>
      </c>
      <c r="E20" t="s">
        <v>48</v>
      </c>
      <c r="G20" t="str">
        <f t="shared" ref="G20:Y20" si="2">G6</f>
        <v>0</v>
      </c>
      <c r="H20" t="str">
        <f t="shared" si="2"/>
        <v>1</v>
      </c>
      <c r="I20" t="str">
        <f t="shared" si="2"/>
        <v>0</v>
      </c>
      <c r="J20" t="str">
        <f t="shared" si="2"/>
        <v>0</v>
      </c>
      <c r="K20" t="str">
        <f t="shared" si="2"/>
        <v>.</v>
      </c>
      <c r="L20" t="str">
        <f t="shared" si="2"/>
        <v>1</v>
      </c>
      <c r="M20" t="str">
        <f t="shared" si="2"/>
        <v>1</v>
      </c>
      <c r="N20" t="str">
        <f t="shared" si="2"/>
        <v>1</v>
      </c>
      <c r="O20" t="str">
        <f t="shared" si="2"/>
        <v>1</v>
      </c>
      <c r="P20" t="str">
        <f t="shared" si="2"/>
        <v>.</v>
      </c>
      <c r="Q20" t="str">
        <f t="shared" si="2"/>
        <v>1</v>
      </c>
      <c r="R20" t="str">
        <f t="shared" si="2"/>
        <v>1</v>
      </c>
      <c r="S20" t="str">
        <f t="shared" si="2"/>
        <v>1</v>
      </c>
      <c r="T20" t="str">
        <f t="shared" si="2"/>
        <v>0</v>
      </c>
      <c r="U20" t="str">
        <f t="shared" si="2"/>
        <v>.</v>
      </c>
      <c r="V20" t="str">
        <f t="shared" si="2"/>
        <v>1</v>
      </c>
      <c r="W20" t="str">
        <f t="shared" si="2"/>
        <v>0</v>
      </c>
      <c r="X20" t="str">
        <f t="shared" si="2"/>
        <v>1</v>
      </c>
      <c r="Y20" t="str">
        <f t="shared" si="2"/>
        <v>0</v>
      </c>
      <c r="AD20" t="s">
        <v>47</v>
      </c>
      <c r="AE20" t="s">
        <v>49</v>
      </c>
      <c r="AG20">
        <f>C6</f>
        <v>20458</v>
      </c>
      <c r="AI20" s="10"/>
    </row>
    <row r="21" spans="4:35" ht="13.8">
      <c r="E21" t="s">
        <v>50</v>
      </c>
      <c r="F21" t="s">
        <v>50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AC21" s="5" t="s">
        <v>52</v>
      </c>
      <c r="AE21" t="s">
        <v>53</v>
      </c>
      <c r="AF21" t="s">
        <v>54</v>
      </c>
      <c r="AG21" t="s">
        <v>55</v>
      </c>
      <c r="AI21" s="10"/>
    </row>
    <row r="22" spans="4:35">
      <c r="G22">
        <f>MOD(G19+G20+H23,2)</f>
        <v>0</v>
      </c>
      <c r="H22">
        <f>MOD(H19+H20+I23,2)</f>
        <v>1</v>
      </c>
      <c r="I22">
        <f>MOD(I19+I20+J23,2)</f>
        <v>0</v>
      </c>
      <c r="J22">
        <f>MOD(J19+J20+K23,2)</f>
        <v>1</v>
      </c>
      <c r="K22" t="s">
        <v>0</v>
      </c>
      <c r="L22">
        <f>MOD(L19+L20+M23,2)</f>
        <v>1</v>
      </c>
      <c r="M22">
        <f>MOD(M19+M20+N23,2)</f>
        <v>1</v>
      </c>
      <c r="N22">
        <f>MOD(N19+N20+O23,2)</f>
        <v>0</v>
      </c>
      <c r="O22">
        <f>MOD(O19+O20+P23,2)</f>
        <v>0</v>
      </c>
      <c r="P22" t="s">
        <v>0</v>
      </c>
      <c r="Q22">
        <f>MOD(Q19+Q20+R23,2)</f>
        <v>1</v>
      </c>
      <c r="R22">
        <f>MOD(R19+R20+S23,2)</f>
        <v>1</v>
      </c>
      <c r="S22">
        <f>MOD(S19+S20+T23,2)</f>
        <v>0</v>
      </c>
      <c r="T22">
        <f>MOD(T19+T20+U23,2)</f>
        <v>1</v>
      </c>
      <c r="U22" t="s">
        <v>0</v>
      </c>
      <c r="V22">
        <f>MOD(V19+V20+W23,2)</f>
        <v>0</v>
      </c>
      <c r="W22">
        <f>MOD(W19+W20+X23,2)</f>
        <v>1</v>
      </c>
      <c r="X22">
        <f>MOD(X19+X20+Y23,2)</f>
        <v>0</v>
      </c>
      <c r="Y22">
        <f>MOD(Y19+Y20+Z23,2)</f>
        <v>1</v>
      </c>
      <c r="Z22" t="s">
        <v>56</v>
      </c>
      <c r="AA22">
        <f>IF(G22=1,-1*(32768-(H22*POWER(2,14)+I22*POWER(2,13)+J22*POWER(2,12)+L22*POWER(2,11)+M22*POWER(2,10)+N22*POWER(2,9)+O22*POWER(2,8)+Q22*POWER(2,7)+R22*POWER(2,6)+S22*POWER(2,5)+T22*POWER(2,4)+V22*POWER(2,3)+W22*POWER(2,2)+X22*POWER(2,1)+Y22*POWER(2,0))),H22*POWER(2,14)+I22*POWER(2,13)+J22*POWER(2,12)+L22*POWER(2,11)+M22*POWER(2,10)+N22*POWER(2,9)+O22*POWER(2,8)+Q22*POWER(2,7)+R22*POWER(2,6)+S22*POWER(2,5)+T22*POWER(2,4)+V22*POWER(2,3)+W22*POWER(2,2)+X22*POWER(2,1)+Y22*POWER(2,0))</f>
        <v>23765</v>
      </c>
      <c r="AB22" t="s">
        <v>57</v>
      </c>
      <c r="AG22">
        <f>AG19+AG20</f>
        <v>23765</v>
      </c>
      <c r="AH22" t="s">
        <v>57</v>
      </c>
      <c r="AI22" s="10"/>
    </row>
    <row r="23" spans="4:35">
      <c r="G23">
        <f>IF(G19+G20+H23&lt;=1,0,1)</f>
        <v>0</v>
      </c>
      <c r="H23">
        <f>IF(H19+H20+I23&lt;=1,0,1)</f>
        <v>0</v>
      </c>
      <c r="I23">
        <f>IF(I19+I20+J23&lt;=1,0,1)</f>
        <v>0</v>
      </c>
      <c r="J23">
        <f>IF(J19+J20+K23&lt;=1,0,1)</f>
        <v>0</v>
      </c>
      <c r="K23">
        <f>IF(L19+L20+M23&lt;=1,0,1)</f>
        <v>1</v>
      </c>
      <c r="L23">
        <f>IF(L19+L20+M23&lt;=1,0,1)</f>
        <v>1</v>
      </c>
      <c r="M23">
        <f>IF(M19+M20+N23&lt;=1,0,1)</f>
        <v>1</v>
      </c>
      <c r="N23">
        <f>IF(N19+N20+O23&lt;=1,0,1)</f>
        <v>1</v>
      </c>
      <c r="O23">
        <f>IF(O19+O20+P23&lt;=1,0,1)</f>
        <v>1</v>
      </c>
      <c r="P23">
        <f>IF(Q19+Q20+R23&lt;=1,0,1)</f>
        <v>1</v>
      </c>
      <c r="Q23">
        <f>IF(Q19+Q20+R23&lt;=1,0,1)</f>
        <v>1</v>
      </c>
      <c r="R23">
        <f>IF(R19+R20+S23&lt;=1,0,1)</f>
        <v>1</v>
      </c>
      <c r="S23">
        <f>IF(S19+S20+T23&lt;=1,0,1)</f>
        <v>1</v>
      </c>
      <c r="T23">
        <f>IF(T19+T20+U23&lt;=1,0,1)</f>
        <v>0</v>
      </c>
      <c r="U23">
        <f>IF(V19+V20+W23&lt;=1,0,1)</f>
        <v>1</v>
      </c>
      <c r="V23">
        <f>IF(V19+V20+W23&lt;=1,0,1)</f>
        <v>1</v>
      </c>
      <c r="W23">
        <f>IF(W19+W20+X23&lt;=1,0,1)</f>
        <v>0</v>
      </c>
      <c r="X23">
        <f>IF(X19+X20+Y23&lt;=1,0,1)</f>
        <v>1</v>
      </c>
      <c r="Y23">
        <f>IF(Y19+Y20+Z23&lt;=1,0,1)</f>
        <v>0</v>
      </c>
      <c r="Z23">
        <v>0</v>
      </c>
      <c r="AI23" s="10"/>
    </row>
    <row r="25" spans="4:35">
      <c r="G25" s="7" t="s">
        <v>58</v>
      </c>
      <c r="H25" s="7"/>
      <c r="I25" s="7"/>
      <c r="J25">
        <f>G23</f>
        <v>0</v>
      </c>
      <c r="K25" s="7"/>
      <c r="L25" s="7" t="s">
        <v>59</v>
      </c>
      <c r="M25" s="7"/>
      <c r="N25" s="7"/>
      <c r="O25" s="7">
        <f>IF(MOD(COUNTIF(Q22:Y22,1),2)=0,1,0)</f>
        <v>0</v>
      </c>
      <c r="Q25" s="7" t="s">
        <v>60</v>
      </c>
      <c r="R25" s="7"/>
      <c r="S25" s="7"/>
      <c r="T25">
        <f>U23</f>
        <v>1</v>
      </c>
      <c r="V25" s="7" t="s">
        <v>61</v>
      </c>
      <c r="W25" s="7"/>
      <c r="X25" s="7"/>
      <c r="Y25">
        <f>IF(COUNTIF(G22:Y22,1)=0,1,0)</f>
        <v>0</v>
      </c>
      <c r="AA25" s="7" t="s">
        <v>62</v>
      </c>
      <c r="AB25" s="6">
        <f>G22</f>
        <v>0</v>
      </c>
      <c r="AC25" t="s">
        <v>63</v>
      </c>
      <c r="AD25">
        <f>IF(_xlfn.XOR(H23,G23),1,0)</f>
        <v>0</v>
      </c>
    </row>
    <row r="26" spans="4:35" ht="13.2" customHeight="1"/>
    <row r="27" spans="4:35" ht="52.8">
      <c r="E27" t="s">
        <v>48</v>
      </c>
      <c r="G27" t="str">
        <f t="shared" ref="G27:Y27" si="3">G6</f>
        <v>0</v>
      </c>
      <c r="H27" t="str">
        <f t="shared" si="3"/>
        <v>1</v>
      </c>
      <c r="I27" t="str">
        <f t="shared" si="3"/>
        <v>0</v>
      </c>
      <c r="J27" t="str">
        <f t="shared" si="3"/>
        <v>0</v>
      </c>
      <c r="K27" t="str">
        <f t="shared" si="3"/>
        <v>.</v>
      </c>
      <c r="L27" t="str">
        <f t="shared" si="3"/>
        <v>1</v>
      </c>
      <c r="M27" t="str">
        <f t="shared" si="3"/>
        <v>1</v>
      </c>
      <c r="N27" t="str">
        <f t="shared" si="3"/>
        <v>1</v>
      </c>
      <c r="O27" t="str">
        <f t="shared" si="3"/>
        <v>1</v>
      </c>
      <c r="P27" t="str">
        <f t="shared" si="3"/>
        <v>.</v>
      </c>
      <c r="Q27" t="str">
        <f t="shared" si="3"/>
        <v>1</v>
      </c>
      <c r="R27" t="str">
        <f t="shared" si="3"/>
        <v>1</v>
      </c>
      <c r="S27" t="str">
        <f t="shared" si="3"/>
        <v>1</v>
      </c>
      <c r="T27" t="str">
        <f t="shared" si="3"/>
        <v>0</v>
      </c>
      <c r="U27" t="str">
        <f t="shared" si="3"/>
        <v>.</v>
      </c>
      <c r="V27" t="str">
        <f t="shared" si="3"/>
        <v>1</v>
      </c>
      <c r="W27" t="str">
        <f t="shared" si="3"/>
        <v>0</v>
      </c>
      <c r="X27" t="str">
        <f t="shared" si="3"/>
        <v>1</v>
      </c>
      <c r="Y27" t="str">
        <f t="shared" si="3"/>
        <v>0</v>
      </c>
      <c r="AE27" t="s">
        <v>49</v>
      </c>
      <c r="AG27">
        <f>C6</f>
        <v>20458</v>
      </c>
      <c r="AI27" s="10" t="str">
        <f>VLOOKUP(IF(AND(AG27&gt;0,AG28&gt;0),IF(AA30&gt;0,1,2),IF(AND(AG27&lt;0,AG28&lt;0),IF(AA30&lt;0,5,6),IF(AA30&gt;0,4,3))),Комментарии!A1:B6,2,0)</f>
        <v>При сложении двух положительных слагаемых 
получен отрицательный результат. ПЕРЕПОЛНЕНИЕ!
Результат выполнения операции некорректный,
не совпадает с суммой десятичных эквивалентов.</v>
      </c>
    </row>
    <row r="28" spans="4:35">
      <c r="D28" t="s">
        <v>47</v>
      </c>
      <c r="E28" t="s">
        <v>64</v>
      </c>
      <c r="G28" t="str">
        <f t="shared" ref="G28:Y28" si="4">G7</f>
        <v>0</v>
      </c>
      <c r="H28" t="str">
        <f t="shared" si="4"/>
        <v>1</v>
      </c>
      <c r="I28" t="str">
        <f t="shared" si="4"/>
        <v>0</v>
      </c>
      <c r="J28" t="str">
        <f t="shared" si="4"/>
        <v>1</v>
      </c>
      <c r="K28" t="str">
        <f t="shared" si="4"/>
        <v>.</v>
      </c>
      <c r="L28" t="str">
        <f t="shared" si="4"/>
        <v>1</v>
      </c>
      <c r="M28" t="str">
        <f t="shared" si="4"/>
        <v>1</v>
      </c>
      <c r="N28" t="str">
        <f t="shared" si="4"/>
        <v>0</v>
      </c>
      <c r="O28" t="str">
        <f t="shared" si="4"/>
        <v>0</v>
      </c>
      <c r="P28" t="str">
        <f t="shared" si="4"/>
        <v>.</v>
      </c>
      <c r="Q28" t="str">
        <f t="shared" si="4"/>
        <v>1</v>
      </c>
      <c r="R28" t="str">
        <f t="shared" si="4"/>
        <v>1</v>
      </c>
      <c r="S28" t="str">
        <f t="shared" si="4"/>
        <v>0</v>
      </c>
      <c r="T28" t="str">
        <f t="shared" si="4"/>
        <v>1</v>
      </c>
      <c r="U28" t="str">
        <f t="shared" si="4"/>
        <v>.</v>
      </c>
      <c r="V28" t="str">
        <f t="shared" si="4"/>
        <v>0</v>
      </c>
      <c r="W28" t="str">
        <f t="shared" si="4"/>
        <v>1</v>
      </c>
      <c r="X28" t="str">
        <f t="shared" si="4"/>
        <v>0</v>
      </c>
      <c r="Y28" t="str">
        <f t="shared" si="4"/>
        <v>1</v>
      </c>
      <c r="AD28" t="s">
        <v>47</v>
      </c>
      <c r="AE28" t="s">
        <v>65</v>
      </c>
      <c r="AG28">
        <f>C7</f>
        <v>23765</v>
      </c>
      <c r="AI28" s="10"/>
    </row>
    <row r="29" spans="4:35" ht="13.8">
      <c r="E29" t="s">
        <v>50</v>
      </c>
      <c r="F29" t="s">
        <v>50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AC29" s="5" t="s">
        <v>52</v>
      </c>
      <c r="AE29" t="s">
        <v>53</v>
      </c>
      <c r="AF29" t="s">
        <v>54</v>
      </c>
      <c r="AG29" t="s">
        <v>55</v>
      </c>
      <c r="AI29" s="10"/>
    </row>
    <row r="30" spans="4:35">
      <c r="G30">
        <f>MOD(G27+G28+H31,2)</f>
        <v>1</v>
      </c>
      <c r="H30">
        <f>MOD(H27+H28+I31,2)</f>
        <v>0</v>
      </c>
      <c r="I30">
        <f>MOD(I27+I28+J31,2)</f>
        <v>1</v>
      </c>
      <c r="J30">
        <f>MOD(J27+J28+K31,2)</f>
        <v>0</v>
      </c>
      <c r="K30" t="s">
        <v>0</v>
      </c>
      <c r="L30">
        <f>MOD(L27+L28+M31,2)</f>
        <v>1</v>
      </c>
      <c r="M30">
        <f>MOD(M27+M28+N31,2)</f>
        <v>1</v>
      </c>
      <c r="N30">
        <f>MOD(N27+N28+O31,2)</f>
        <v>0</v>
      </c>
      <c r="O30">
        <f>MOD(O27+O28+P31,2)</f>
        <v>0</v>
      </c>
      <c r="P30" t="s">
        <v>0</v>
      </c>
      <c r="Q30">
        <f>MOD(Q27+Q28+R31,2)</f>
        <v>1</v>
      </c>
      <c r="R30">
        <f>MOD(R27+R28+S31,2)</f>
        <v>0</v>
      </c>
      <c r="S30">
        <f>MOD(S27+S28+T31,2)</f>
        <v>1</v>
      </c>
      <c r="T30">
        <f>MOD(T27+T28+U31,2)</f>
        <v>1</v>
      </c>
      <c r="U30" t="s">
        <v>0</v>
      </c>
      <c r="V30">
        <f>MOD(V27+V28+W31,2)</f>
        <v>1</v>
      </c>
      <c r="W30">
        <f>MOD(W27+W28+X31,2)</f>
        <v>1</v>
      </c>
      <c r="X30">
        <f>MOD(X27+X28+Y31,2)</f>
        <v>1</v>
      </c>
      <c r="Y30">
        <f>MOD(Y27+Y28+Z31,2)</f>
        <v>1</v>
      </c>
      <c r="Z30" t="s">
        <v>56</v>
      </c>
      <c r="AA30">
        <f>IF(G30=1,-1*(32768  - (H30*POWER(2,14)+I30*POWER(2,13)+J30*POWER(2,12)+L30*POWER(2,11)+M30*POWER(2,10)+N30*POWER(2,9)+O30*POWER(2,8)+Q30*POWER(2,7)+R30*POWER(2,6)+S30*POWER(2,5)+T30*POWER(2,4)+V30*POWER(2,3)+W30*POWER(2,2)+X30*POWER(2,1)+Y30*POWER(2,0))),H30*POWER(2,14)+I30*POWER(2,13)+J30*POWER(2,12)+L30*POWER(2,11)+M30*POWER(2,10)+N30*POWER(2,9)+O30*POWER(2,8)+Q30*POWER(2,7)+R30*POWER(2,6)+S30*POWER(2,5)+T30*POWER(2,4)+V30*POWER(2,3)+W30*POWER(2,2)+X30*POWER(2,1)+Y30*POWER(2,0))</f>
        <v>-21313</v>
      </c>
      <c r="AB30" t="s">
        <v>57</v>
      </c>
      <c r="AG30">
        <f>AG27+AG28</f>
        <v>44223</v>
      </c>
      <c r="AH30" t="s">
        <v>57</v>
      </c>
      <c r="AI30" s="10"/>
    </row>
    <row r="31" spans="4:35">
      <c r="G31">
        <f>IF(G27+G28+H31&lt;=1,0,1)</f>
        <v>0</v>
      </c>
      <c r="H31">
        <f>IF(H27+H28+I31&lt;=1,0,1)</f>
        <v>1</v>
      </c>
      <c r="I31">
        <f>IF(I27+I28+J31&lt;=1,0,1)</f>
        <v>0</v>
      </c>
      <c r="J31">
        <f>IF(J27+J28+K31&lt;=1,0,1)</f>
        <v>1</v>
      </c>
      <c r="K31">
        <f>IF(L27+L28+M31&lt;=1,0,1)</f>
        <v>1</v>
      </c>
      <c r="L31">
        <f>IF(L27+L28+M31&lt;=1,0,1)</f>
        <v>1</v>
      </c>
      <c r="M31">
        <f>IF(M27+M28+N31&lt;=1,0,1)</f>
        <v>1</v>
      </c>
      <c r="N31">
        <f>IF(N27+N28+O31&lt;=1,0,1)</f>
        <v>1</v>
      </c>
      <c r="O31">
        <f>IF(O27+O28+P31&lt;=1,0,1)</f>
        <v>1</v>
      </c>
      <c r="P31">
        <f>IF(Q27+Q28+R31&lt;=1,0,1)</f>
        <v>1</v>
      </c>
      <c r="Q31">
        <f>IF(Q27+Q28+R31&lt;=1,0,1)</f>
        <v>1</v>
      </c>
      <c r="R31">
        <f>IF(R27+R28+S31&lt;=1,0,1)</f>
        <v>1</v>
      </c>
      <c r="S31">
        <f>IF(S27+S28+T31&lt;=1,0,1)</f>
        <v>0</v>
      </c>
      <c r="T31">
        <f>IF(T27+T28+U31&lt;=1,0,1)</f>
        <v>0</v>
      </c>
      <c r="U31">
        <f>IF(V27+V28+W31&lt;=1,0,1)</f>
        <v>0</v>
      </c>
      <c r="V31">
        <f>IF(V27+V28+W31&lt;=1,0,1)</f>
        <v>0</v>
      </c>
      <c r="W31">
        <f>IF(W27+W28+X31&lt;=1,0,1)</f>
        <v>0</v>
      </c>
      <c r="X31">
        <f>IF(X27+X28+Y31&lt;=1,0,1)</f>
        <v>0</v>
      </c>
      <c r="Y31">
        <f>IF(Y27+Y28+Z31&lt;=1,0,1)</f>
        <v>0</v>
      </c>
      <c r="Z31">
        <v>0</v>
      </c>
    </row>
    <row r="33" spans="4:35">
      <c r="G33" s="7" t="s">
        <v>58</v>
      </c>
      <c r="H33" s="7"/>
      <c r="I33" s="7"/>
      <c r="J33">
        <f>G31</f>
        <v>0</v>
      </c>
      <c r="K33" s="7"/>
      <c r="L33" s="7" t="s">
        <v>59</v>
      </c>
      <c r="M33" s="7"/>
      <c r="N33" s="7"/>
      <c r="O33" s="7">
        <f>IF(MOD(COUNTIF(Q30:Y30,1),2)=0,1,0)</f>
        <v>0</v>
      </c>
      <c r="Q33" s="7" t="s">
        <v>60</v>
      </c>
      <c r="R33" s="7"/>
      <c r="S33" s="7"/>
      <c r="T33">
        <f>U31</f>
        <v>0</v>
      </c>
      <c r="V33" s="7" t="s">
        <v>61</v>
      </c>
      <c r="W33" s="7"/>
      <c r="X33" s="7"/>
      <c r="Y33">
        <f>IF(COUNTIF(G30:Y30,1)=0,1,0)</f>
        <v>0</v>
      </c>
      <c r="AA33" s="7" t="s">
        <v>62</v>
      </c>
      <c r="AB33" s="6">
        <f>G30</f>
        <v>1</v>
      </c>
      <c r="AC33" t="s">
        <v>63</v>
      </c>
      <c r="AD33">
        <f>IF(_xlfn.XOR(H31,G31),1,0)</f>
        <v>1</v>
      </c>
    </row>
    <row r="34" spans="4:35" ht="13.2" customHeight="1"/>
    <row r="35" spans="4:35" ht="66">
      <c r="E35" t="s">
        <v>48</v>
      </c>
      <c r="G35" t="str">
        <f t="shared" ref="G35:Y35" si="5">G6</f>
        <v>0</v>
      </c>
      <c r="H35" t="str">
        <f t="shared" si="5"/>
        <v>1</v>
      </c>
      <c r="I35" t="str">
        <f t="shared" si="5"/>
        <v>0</v>
      </c>
      <c r="J35" t="str">
        <f t="shared" si="5"/>
        <v>0</v>
      </c>
      <c r="K35" t="str">
        <f t="shared" si="5"/>
        <v>.</v>
      </c>
      <c r="L35" t="str">
        <f t="shared" si="5"/>
        <v>1</v>
      </c>
      <c r="M35" t="str">
        <f t="shared" si="5"/>
        <v>1</v>
      </c>
      <c r="N35" t="str">
        <f t="shared" si="5"/>
        <v>1</v>
      </c>
      <c r="O35" t="str">
        <f t="shared" si="5"/>
        <v>1</v>
      </c>
      <c r="P35" t="str">
        <f t="shared" si="5"/>
        <v>.</v>
      </c>
      <c r="Q35" t="str">
        <f t="shared" si="5"/>
        <v>1</v>
      </c>
      <c r="R35" t="str">
        <f t="shared" si="5"/>
        <v>1</v>
      </c>
      <c r="S35" t="str">
        <f t="shared" si="5"/>
        <v>1</v>
      </c>
      <c r="T35" t="str">
        <f t="shared" si="5"/>
        <v>0</v>
      </c>
      <c r="U35" t="str">
        <f t="shared" si="5"/>
        <v>.</v>
      </c>
      <c r="V35" t="str">
        <f t="shared" si="5"/>
        <v>1</v>
      </c>
      <c r="W35" t="str">
        <f t="shared" si="5"/>
        <v>0</v>
      </c>
      <c r="X35" t="str">
        <f t="shared" si="5"/>
        <v>1</v>
      </c>
      <c r="Y35" t="str">
        <f t="shared" si="5"/>
        <v>0</v>
      </c>
      <c r="AE35" t="s">
        <v>49</v>
      </c>
      <c r="AG35">
        <f>C6</f>
        <v>20458</v>
      </c>
      <c r="AI35" s="11" t="str">
        <f>VLOOKUP(IF(AND(AG35&gt;0,AG36&gt;0),IF(AA38&gt;0,1,2),IF(AND(AG35&lt;0,AG36&lt;0),IF(AA38&lt;0,5,6),IF(AA38&gt;0,4,3))),Комментарии!A1:B6,2,0)</f>
        <v>При сложении положительного и отрицательного слагаемых
получено положительное число.
Перенос из старшего разряда не учитывается.
Результат выполнения операции верный и корректный,
совпадает с суммой десятичных эквивалентов.</v>
      </c>
    </row>
    <row r="36" spans="4:35">
      <c r="D36" t="s">
        <v>47</v>
      </c>
      <c r="E36" t="s">
        <v>66</v>
      </c>
      <c r="G36" t="str">
        <f t="shared" ref="G36:Y36" si="6">G11</f>
        <v>1</v>
      </c>
      <c r="H36" t="str">
        <f t="shared" si="6"/>
        <v>1</v>
      </c>
      <c r="I36" t="str">
        <f t="shared" si="6"/>
        <v>1</v>
      </c>
      <c r="J36" t="str">
        <f t="shared" si="6"/>
        <v>1</v>
      </c>
      <c r="K36" t="str">
        <f t="shared" si="6"/>
        <v>.</v>
      </c>
      <c r="L36" t="str">
        <f t="shared" si="6"/>
        <v>0</v>
      </c>
      <c r="M36" t="str">
        <f t="shared" si="6"/>
        <v>0</v>
      </c>
      <c r="N36" t="str">
        <f t="shared" si="6"/>
        <v>1</v>
      </c>
      <c r="O36" t="str">
        <f t="shared" si="6"/>
        <v>1</v>
      </c>
      <c r="P36" t="str">
        <f t="shared" si="6"/>
        <v>.</v>
      </c>
      <c r="Q36" t="str">
        <f t="shared" si="6"/>
        <v>0</v>
      </c>
      <c r="R36" t="str">
        <f t="shared" si="6"/>
        <v>0</v>
      </c>
      <c r="S36" t="str">
        <f t="shared" si="6"/>
        <v>0</v>
      </c>
      <c r="T36" t="str">
        <f t="shared" si="6"/>
        <v>1</v>
      </c>
      <c r="U36" t="str">
        <f t="shared" si="6"/>
        <v>.</v>
      </c>
      <c r="V36" t="str">
        <f t="shared" si="6"/>
        <v>0</v>
      </c>
      <c r="W36" t="str">
        <f t="shared" si="6"/>
        <v>1</v>
      </c>
      <c r="X36" t="str">
        <f t="shared" si="6"/>
        <v>0</v>
      </c>
      <c r="Y36" t="str">
        <f t="shared" si="6"/>
        <v>1</v>
      </c>
      <c r="AD36" t="s">
        <v>47</v>
      </c>
      <c r="AE36" t="s">
        <v>67</v>
      </c>
      <c r="AG36">
        <f>C11</f>
        <v>-3307</v>
      </c>
      <c r="AI36" s="11"/>
    </row>
    <row r="37" spans="4:35" ht="13.8">
      <c r="E37" t="s">
        <v>50</v>
      </c>
      <c r="F37" t="s">
        <v>50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AC37" s="5" t="s">
        <v>52</v>
      </c>
      <c r="AE37" t="s">
        <v>53</v>
      </c>
      <c r="AF37" t="s">
        <v>54</v>
      </c>
      <c r="AG37" t="s">
        <v>55</v>
      </c>
      <c r="AI37" s="11"/>
    </row>
    <row r="38" spans="4:35">
      <c r="G38">
        <f>MOD(G35+G36+H39,2)</f>
        <v>0</v>
      </c>
      <c r="H38">
        <f>MOD(H35+H36+I39,2)</f>
        <v>1</v>
      </c>
      <c r="I38">
        <f>MOD(I35+I36+J39,2)</f>
        <v>0</v>
      </c>
      <c r="J38">
        <f>MOD(J35+J36+K39,2)</f>
        <v>0</v>
      </c>
      <c r="K38" t="s">
        <v>0</v>
      </c>
      <c r="L38">
        <f>MOD(L35+L36+M39,2)</f>
        <v>0</v>
      </c>
      <c r="M38">
        <f>MOD(M35+M36+N39,2)</f>
        <v>0</v>
      </c>
      <c r="N38">
        <f>MOD(N35+N36+O39,2)</f>
        <v>1</v>
      </c>
      <c r="O38">
        <f>MOD(O35+O36+P39,2)</f>
        <v>0</v>
      </c>
      <c r="P38" t="s">
        <v>0</v>
      </c>
      <c r="Q38">
        <f>MOD(Q35+Q36+R39,2)</f>
        <v>1</v>
      </c>
      <c r="R38">
        <f>MOD(R35+R36+S39,2)</f>
        <v>1</v>
      </c>
      <c r="S38">
        <f>MOD(S35+S36+T39,2)</f>
        <v>1</v>
      </c>
      <c r="T38">
        <f>MOD(T35+T36+U39,2)</f>
        <v>1</v>
      </c>
      <c r="U38" t="s">
        <v>0</v>
      </c>
      <c r="V38">
        <f>MOD(V35+V36+W39,2)</f>
        <v>1</v>
      </c>
      <c r="W38">
        <f>MOD(W35+W36+X39,2)</f>
        <v>1</v>
      </c>
      <c r="X38">
        <f>MOD(X35+X36+Y39,2)</f>
        <v>1</v>
      </c>
      <c r="Y38">
        <f>MOD(Y35+Y36+Z39,2)</f>
        <v>1</v>
      </c>
      <c r="Z38" t="s">
        <v>56</v>
      </c>
      <c r="AA38">
        <f>IF(G38=1,-1*(32768  - (H38*POWER(2,14)+I38*POWER(2,13)+J38*POWER(2,12)+L38*POWER(2,11)+M38*POWER(2,10)+N38*POWER(2,9)+O38*POWER(2,8)+Q38*POWER(2,7)+R38*POWER(2,6)+S38*POWER(2,5)+T38*POWER(2,4)+V38*POWER(2,3)+W38*POWER(2,2)+X38*POWER(2,1)+Y38*POWER(2,0))),H38*POWER(2,14)+I38*POWER(2,13)+J38*POWER(2,12)+L38*POWER(2,11)+M38*POWER(2,10)+N38*POWER(2,9)+O38*POWER(2,8)+Q38*POWER(2,7)+R38*POWER(2,6)+S38*POWER(2,5)+T38*POWER(2,4)+V38*POWER(2,3)+W38*POWER(2,2)+X38*POWER(2,1)+Y38*POWER(2,0))</f>
        <v>17151</v>
      </c>
      <c r="AB38" t="s">
        <v>57</v>
      </c>
      <c r="AG38">
        <f>AG35+AG36</f>
        <v>17151</v>
      </c>
      <c r="AH38" t="s">
        <v>57</v>
      </c>
      <c r="AI38" s="11"/>
    </row>
    <row r="39" spans="4:35">
      <c r="G39">
        <f>IF(G35+G36+H39&lt;=1,0,1)</f>
        <v>1</v>
      </c>
      <c r="H39">
        <f>IF(H35+H36+I39&lt;=1,0,1)</f>
        <v>1</v>
      </c>
      <c r="I39">
        <f>IF(I35+I36+J39&lt;=1,0,1)</f>
        <v>1</v>
      </c>
      <c r="J39">
        <f>IF(J35+J36+K39&lt;=1,0,1)</f>
        <v>1</v>
      </c>
      <c r="K39">
        <f>IF(L35+L36+M39&lt;=1,0,1)</f>
        <v>1</v>
      </c>
      <c r="L39">
        <f>IF(L35+L36+M39&lt;=1,0,1)</f>
        <v>1</v>
      </c>
      <c r="M39">
        <f>IF(M35+M36+N39&lt;=1,0,1)</f>
        <v>1</v>
      </c>
      <c r="N39">
        <f>IF(N35+N36+O39&lt;=1,0,1)</f>
        <v>1</v>
      </c>
      <c r="O39">
        <f>IF(O35+O36+P39&lt;=1,0,1)</f>
        <v>1</v>
      </c>
      <c r="P39">
        <f>IF(Q35+Q36+R39&lt;=1,0,1)</f>
        <v>0</v>
      </c>
      <c r="Q39">
        <f>IF(Q35+Q36+R39&lt;=1,0,1)</f>
        <v>0</v>
      </c>
      <c r="R39">
        <f>IF(R35+R36+S39&lt;=1,0,1)</f>
        <v>0</v>
      </c>
      <c r="S39">
        <f>IF(S35+S36+T39&lt;=1,0,1)</f>
        <v>0</v>
      </c>
      <c r="T39">
        <f>IF(T35+T36+U39&lt;=1,0,1)</f>
        <v>0</v>
      </c>
      <c r="U39">
        <f>IF(V35+V36+W39&lt;=1,0,1)</f>
        <v>0</v>
      </c>
      <c r="V39">
        <f>IF(V35+V36+W39&lt;=1,0,1)</f>
        <v>0</v>
      </c>
      <c r="W39">
        <f>IF(W35+W36+X39&lt;=1,0,1)</f>
        <v>0</v>
      </c>
      <c r="X39">
        <f>IF(X35+X36+Y39&lt;=1,0,1)</f>
        <v>0</v>
      </c>
      <c r="Y39">
        <f>IF(Y35+Y36+Z39&lt;=1,0,1)</f>
        <v>0</v>
      </c>
      <c r="Z39">
        <v>0</v>
      </c>
      <c r="AI39" s="11"/>
    </row>
    <row r="40" spans="4:35">
      <c r="AI40" s="9"/>
    </row>
    <row r="41" spans="4:35">
      <c r="G41" s="7" t="s">
        <v>58</v>
      </c>
      <c r="H41" s="7"/>
      <c r="I41" s="7"/>
      <c r="J41">
        <f>G39</f>
        <v>1</v>
      </c>
      <c r="K41" s="7"/>
      <c r="L41" s="7" t="s">
        <v>59</v>
      </c>
      <c r="M41" s="7"/>
      <c r="N41" s="7"/>
      <c r="O41" s="7">
        <f>IF(MOD(COUNTIF(Q38:Y38,1),2)=0,1,0)</f>
        <v>1</v>
      </c>
      <c r="Q41" s="7" t="s">
        <v>60</v>
      </c>
      <c r="R41" s="7"/>
      <c r="S41" s="7"/>
      <c r="T41">
        <f>U39</f>
        <v>0</v>
      </c>
      <c r="V41" s="7" t="s">
        <v>61</v>
      </c>
      <c r="W41" s="7"/>
      <c r="X41" s="7"/>
      <c r="Y41">
        <f>IF(COUNTIF(G38:Y38,1)=0,1,0)</f>
        <v>0</v>
      </c>
      <c r="AA41" s="7" t="s">
        <v>62</v>
      </c>
      <c r="AB41" s="6">
        <f>G38</f>
        <v>0</v>
      </c>
      <c r="AC41" t="s">
        <v>63</v>
      </c>
      <c r="AD41">
        <f>IF(_xlfn.XOR(H39,G39),1,0)</f>
        <v>0</v>
      </c>
    </row>
    <row r="42" spans="4:35" ht="13.2" customHeight="1">
      <c r="AI42" s="9"/>
    </row>
    <row r="43" spans="4:35" ht="66">
      <c r="E43" t="s">
        <v>66</v>
      </c>
      <c r="G43" t="str">
        <f t="shared" ref="G43:Y43" si="7">G11</f>
        <v>1</v>
      </c>
      <c r="H43" t="str">
        <f t="shared" si="7"/>
        <v>1</v>
      </c>
      <c r="I43" t="str">
        <f t="shared" si="7"/>
        <v>1</v>
      </c>
      <c r="J43" t="str">
        <f t="shared" si="7"/>
        <v>1</v>
      </c>
      <c r="K43" t="str">
        <f t="shared" si="7"/>
        <v>.</v>
      </c>
      <c r="L43" t="str">
        <f t="shared" si="7"/>
        <v>0</v>
      </c>
      <c r="M43" t="str">
        <f t="shared" si="7"/>
        <v>0</v>
      </c>
      <c r="N43" t="str">
        <f t="shared" si="7"/>
        <v>1</v>
      </c>
      <c r="O43" t="str">
        <f t="shared" si="7"/>
        <v>1</v>
      </c>
      <c r="P43" t="str">
        <f t="shared" si="7"/>
        <v>.</v>
      </c>
      <c r="Q43" t="str">
        <f t="shared" si="7"/>
        <v>0</v>
      </c>
      <c r="R43" t="str">
        <f t="shared" si="7"/>
        <v>0</v>
      </c>
      <c r="S43" t="str">
        <f t="shared" si="7"/>
        <v>0</v>
      </c>
      <c r="T43" t="str">
        <f t="shared" si="7"/>
        <v>1</v>
      </c>
      <c r="U43" t="str">
        <f t="shared" si="7"/>
        <v>.</v>
      </c>
      <c r="V43" t="str">
        <f t="shared" si="7"/>
        <v>0</v>
      </c>
      <c r="W43" t="str">
        <f t="shared" si="7"/>
        <v>1</v>
      </c>
      <c r="X43" t="str">
        <f t="shared" si="7"/>
        <v>0</v>
      </c>
      <c r="Y43" t="str">
        <f t="shared" si="7"/>
        <v>1</v>
      </c>
      <c r="AE43" t="s">
        <v>67</v>
      </c>
      <c r="AG43">
        <f>C11</f>
        <v>-3307</v>
      </c>
      <c r="AI43" s="11" t="str">
        <f>VLOOKUP(IF(AND(AG43&gt;0,AG44&gt;0),IF(AA46&gt;0,1,2),IF(AND(AG43&lt;0,AG44&lt;0),IF(AA46&lt;0,5,6),IF(AA46&gt;0,4,3))),Комментарии!A1:B6,2,0)</f>
        <v>При сложении двух отрицательных слагаемых
получено отрицательное число.
Перенос из старшего разряда не учитывается.
Результат выполнения операции верный и корректный,
совпадает с суммой десятичных эквивалентов.</v>
      </c>
    </row>
    <row r="44" spans="4:35">
      <c r="D44" t="s">
        <v>47</v>
      </c>
      <c r="E44" t="s">
        <v>68</v>
      </c>
      <c r="G44" t="str">
        <f t="shared" ref="G44:Y44" si="8">G12</f>
        <v>1</v>
      </c>
      <c r="H44" t="str">
        <f t="shared" si="8"/>
        <v>0</v>
      </c>
      <c r="I44" t="str">
        <f t="shared" si="8"/>
        <v>1</v>
      </c>
      <c r="J44" t="str">
        <f t="shared" si="8"/>
        <v>1</v>
      </c>
      <c r="K44" t="str">
        <f t="shared" si="8"/>
        <v>.</v>
      </c>
      <c r="L44" t="str">
        <f t="shared" si="8"/>
        <v>0</v>
      </c>
      <c r="M44" t="str">
        <f t="shared" si="8"/>
        <v>0</v>
      </c>
      <c r="N44" t="str">
        <f t="shared" si="8"/>
        <v>0</v>
      </c>
      <c r="O44" t="str">
        <f t="shared" si="8"/>
        <v>0</v>
      </c>
      <c r="P44" t="str">
        <f t="shared" si="8"/>
        <v>.</v>
      </c>
      <c r="Q44" t="str">
        <f t="shared" si="8"/>
        <v>0</v>
      </c>
      <c r="R44" t="str">
        <f t="shared" si="8"/>
        <v>0</v>
      </c>
      <c r="S44" t="str">
        <f t="shared" si="8"/>
        <v>0</v>
      </c>
      <c r="T44" t="str">
        <f t="shared" si="8"/>
        <v>1</v>
      </c>
      <c r="U44" t="str">
        <f t="shared" si="8"/>
        <v>.</v>
      </c>
      <c r="V44" t="str">
        <f t="shared" si="8"/>
        <v>0</v>
      </c>
      <c r="W44" t="str">
        <f t="shared" si="8"/>
        <v>1</v>
      </c>
      <c r="X44" t="str">
        <f t="shared" si="8"/>
        <v>1</v>
      </c>
      <c r="Y44" t="str">
        <f t="shared" si="8"/>
        <v>0</v>
      </c>
      <c r="AD44" t="s">
        <v>47</v>
      </c>
      <c r="AE44" t="s">
        <v>69</v>
      </c>
      <c r="AG44">
        <f>C12</f>
        <v>-20458</v>
      </c>
      <c r="AI44" s="11"/>
    </row>
    <row r="45" spans="4:35" ht="13.8">
      <c r="E45" t="s">
        <v>50</v>
      </c>
      <c r="F45" t="s">
        <v>50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AC45" s="5" t="s">
        <v>52</v>
      </c>
      <c r="AE45" t="s">
        <v>53</v>
      </c>
      <c r="AF45" t="s">
        <v>54</v>
      </c>
      <c r="AG45" t="s">
        <v>55</v>
      </c>
      <c r="AI45" s="11"/>
    </row>
    <row r="46" spans="4:35">
      <c r="G46">
        <f>MOD(G43+G44+H47,2)</f>
        <v>1</v>
      </c>
      <c r="H46">
        <f>MOD(H43+H44+I47,2)</f>
        <v>0</v>
      </c>
      <c r="I46">
        <f>MOD(I43+I44+J47,2)</f>
        <v>1</v>
      </c>
      <c r="J46">
        <f>MOD(J43+J44+K47,2)</f>
        <v>0</v>
      </c>
      <c r="K46" t="s">
        <v>0</v>
      </c>
      <c r="L46">
        <f>MOD(L43+L44+M47,2)</f>
        <v>0</v>
      </c>
      <c r="M46">
        <f>MOD(M43+M44+N47,2)</f>
        <v>0</v>
      </c>
      <c r="N46">
        <f>MOD(N43+N44+O47,2)</f>
        <v>1</v>
      </c>
      <c r="O46">
        <f>MOD(O43+O44+P47,2)</f>
        <v>1</v>
      </c>
      <c r="P46" t="s">
        <v>0</v>
      </c>
      <c r="Q46">
        <f>MOD(Q43+Q44+R47,2)</f>
        <v>0</v>
      </c>
      <c r="R46">
        <f>MOD(R43+R44+S47,2)</f>
        <v>0</v>
      </c>
      <c r="S46">
        <f>MOD(S43+S44+T47,2)</f>
        <v>1</v>
      </c>
      <c r="T46">
        <f>MOD(T43+T44+U47,2)</f>
        <v>0</v>
      </c>
      <c r="U46" t="s">
        <v>0</v>
      </c>
      <c r="V46">
        <f>MOD(V43+V44+W47,2)</f>
        <v>1</v>
      </c>
      <c r="W46">
        <f>MOD(W43+W44+X47,2)</f>
        <v>0</v>
      </c>
      <c r="X46">
        <f>MOD(X43+X44+Y47,2)</f>
        <v>1</v>
      </c>
      <c r="Y46">
        <f>MOD(Y43+Y44+Z47,2)</f>
        <v>1</v>
      </c>
      <c r="Z46" t="s">
        <v>56</v>
      </c>
      <c r="AA46">
        <f>IF(G46=1,-1*(32768  - (H46*POWER(2,14)+I46*POWER(2,13)+J46*POWER(2,12)+L46*POWER(2,11)+M46*POWER(2,10)+N46*POWER(2,9)+O46*POWER(2,8)+Q46*POWER(2,7)+R46*POWER(2,6)+S46*POWER(2,5)+T46*POWER(2,4)+V46*POWER(2,3)+W46*POWER(2,2)+X46*POWER(2,1)+Y46*POWER(2,0))),H46*POWER(2,14)+I46*POWER(2,13)+J46*POWER(2,12)+L46*POWER(2,11)+M46*POWER(2,10)+N46*POWER(2,9)+O46*POWER(2,8)+Q46*POWER(2,7)+R46*POWER(2,6)+S46*POWER(2,5)+T46*POWER(2,4)+V46*POWER(2,3)+W46*POWER(2,2)+X46*POWER(2,1)+Y46*POWER(2,0))</f>
        <v>-23765</v>
      </c>
      <c r="AB46" t="s">
        <v>57</v>
      </c>
      <c r="AG46">
        <f>AG43+AG44</f>
        <v>-23765</v>
      </c>
      <c r="AH46" t="s">
        <v>57</v>
      </c>
      <c r="AI46" s="11"/>
    </row>
    <row r="47" spans="4:35">
      <c r="G47">
        <f>IF(G43+G44+H47&lt;=1,0,1)</f>
        <v>1</v>
      </c>
      <c r="H47">
        <f>IF(H43+H44+I47&lt;=1,0,1)</f>
        <v>1</v>
      </c>
      <c r="I47">
        <f>IF(I43+I44+J47&lt;=1,0,1)</f>
        <v>1</v>
      </c>
      <c r="J47">
        <f>IF(J43+J44+K47&lt;=1,0,1)</f>
        <v>1</v>
      </c>
      <c r="K47">
        <f>IF(L43+L44+M47&lt;=1,0,1)</f>
        <v>0</v>
      </c>
      <c r="L47">
        <f>IF(L43+L44+M47&lt;=1,0,1)</f>
        <v>0</v>
      </c>
      <c r="M47">
        <f>IF(M43+M44+N47&lt;=1,0,1)</f>
        <v>0</v>
      </c>
      <c r="N47">
        <f>IF(N43+N44+O47&lt;=1,0,1)</f>
        <v>0</v>
      </c>
      <c r="O47">
        <f>IF(O43+O44+P47&lt;=1,0,1)</f>
        <v>0</v>
      </c>
      <c r="P47">
        <f>IF(Q43+Q44+R47&lt;=1,0,1)</f>
        <v>0</v>
      </c>
      <c r="Q47">
        <f>IF(Q43+Q44+R47&lt;=1,0,1)</f>
        <v>0</v>
      </c>
      <c r="R47">
        <f>IF(R43+R44+S47&lt;=1,0,1)</f>
        <v>0</v>
      </c>
      <c r="S47">
        <f>IF(S43+S44+T47&lt;=1,0,1)</f>
        <v>0</v>
      </c>
      <c r="T47">
        <f>IF(T43+T44+U47&lt;=1,0,1)</f>
        <v>1</v>
      </c>
      <c r="U47">
        <f>IF(V43+V44+W47&lt;=1,0,1)</f>
        <v>0</v>
      </c>
      <c r="V47">
        <f>IF(V43+V44+W47&lt;=1,0,1)</f>
        <v>0</v>
      </c>
      <c r="W47">
        <f>IF(W43+W44+X47&lt;=1,0,1)</f>
        <v>1</v>
      </c>
      <c r="X47">
        <f>IF(X43+X44+Y47&lt;=1,0,1)</f>
        <v>0</v>
      </c>
      <c r="Y47">
        <f>IF(Y43+Y44+Z47&lt;=1,0,1)</f>
        <v>0</v>
      </c>
      <c r="Z47">
        <v>0</v>
      </c>
      <c r="AI47" s="11"/>
    </row>
    <row r="48" spans="4:35">
      <c r="AI48" s="9"/>
    </row>
    <row r="49" spans="4:35">
      <c r="G49" s="7" t="s">
        <v>58</v>
      </c>
      <c r="H49" s="7"/>
      <c r="I49" s="7"/>
      <c r="J49">
        <f>G47</f>
        <v>1</v>
      </c>
      <c r="K49" s="7"/>
      <c r="L49" s="7" t="s">
        <v>59</v>
      </c>
      <c r="M49" s="7"/>
      <c r="N49" s="7"/>
      <c r="O49" s="7">
        <f>IF(MOD(COUNTIF(Q46:Y46,1),2)=0,1,0)</f>
        <v>1</v>
      </c>
      <c r="Q49" s="7" t="s">
        <v>60</v>
      </c>
      <c r="R49" s="7"/>
      <c r="S49" s="7"/>
      <c r="T49">
        <f>U47</f>
        <v>0</v>
      </c>
      <c r="V49" s="7" t="s">
        <v>61</v>
      </c>
      <c r="W49" s="7"/>
      <c r="X49" s="7"/>
      <c r="Y49">
        <f>IF(COUNTIF(G46:Y46,1)=0,1,0)</f>
        <v>0</v>
      </c>
      <c r="AA49" s="7" t="s">
        <v>62</v>
      </c>
      <c r="AB49" s="6">
        <f>G46</f>
        <v>1</v>
      </c>
      <c r="AC49" t="s">
        <v>63</v>
      </c>
      <c r="AD49">
        <f>IF(_xlfn.XOR(H47,G47),1,0)</f>
        <v>0</v>
      </c>
      <c r="AI49" s="9"/>
    </row>
    <row r="50" spans="4:35" ht="13.2" customHeight="1">
      <c r="AI50" s="9"/>
    </row>
    <row r="51" spans="4:35" ht="52.8">
      <c r="E51" t="s">
        <v>68</v>
      </c>
      <c r="G51" t="str">
        <f t="shared" ref="G51:Y51" si="9">G12</f>
        <v>1</v>
      </c>
      <c r="H51" t="str">
        <f t="shared" si="9"/>
        <v>0</v>
      </c>
      <c r="I51" t="str">
        <f t="shared" si="9"/>
        <v>1</v>
      </c>
      <c r="J51" t="str">
        <f t="shared" si="9"/>
        <v>1</v>
      </c>
      <c r="K51" t="str">
        <f t="shared" si="9"/>
        <v>.</v>
      </c>
      <c r="L51" t="str">
        <f t="shared" si="9"/>
        <v>0</v>
      </c>
      <c r="M51" t="str">
        <f t="shared" si="9"/>
        <v>0</v>
      </c>
      <c r="N51" t="str">
        <f t="shared" si="9"/>
        <v>0</v>
      </c>
      <c r="O51" t="str">
        <f t="shared" si="9"/>
        <v>0</v>
      </c>
      <c r="P51" t="str">
        <f t="shared" si="9"/>
        <v>.</v>
      </c>
      <c r="Q51" t="str">
        <f t="shared" si="9"/>
        <v>0</v>
      </c>
      <c r="R51" t="str">
        <f t="shared" si="9"/>
        <v>0</v>
      </c>
      <c r="S51" t="str">
        <f t="shared" si="9"/>
        <v>0</v>
      </c>
      <c r="T51" t="str">
        <f t="shared" si="9"/>
        <v>1</v>
      </c>
      <c r="U51" t="str">
        <f t="shared" si="9"/>
        <v>.</v>
      </c>
      <c r="V51" t="str">
        <f t="shared" si="9"/>
        <v>0</v>
      </c>
      <c r="W51" t="str">
        <f t="shared" si="9"/>
        <v>1</v>
      </c>
      <c r="X51" t="str">
        <f t="shared" si="9"/>
        <v>1</v>
      </c>
      <c r="Y51" t="str">
        <f t="shared" si="9"/>
        <v>0</v>
      </c>
      <c r="AE51" t="s">
        <v>69</v>
      </c>
      <c r="AG51">
        <f>C12</f>
        <v>-20458</v>
      </c>
      <c r="AI51" s="11" t="str">
        <f>VLOOKUP(IF(AND(AG51&gt;0,AG52&gt;0),IF(AA54&gt;0,1,2),IF(AND(AG51&lt;0,AG52&lt;0),IF(AA54&lt;0,5,6),IF(AA54&gt;0,4,3))),Комментарии!A1:B6,2,0)</f>
        <v>При сложении двух отрицательных слагаемых
получено положительное число. ПЕРЕПОЛНЕНИЕ!
Результат выполнения операции некорректный,
не совпадает с суммой десятичных эквивалентов.</v>
      </c>
    </row>
    <row r="52" spans="4:35">
      <c r="D52" t="s">
        <v>47</v>
      </c>
      <c r="E52" t="s">
        <v>70</v>
      </c>
      <c r="G52" t="str">
        <f t="shared" ref="G52:Y52" si="10">G13</f>
        <v>1</v>
      </c>
      <c r="H52" t="str">
        <f t="shared" si="10"/>
        <v>0</v>
      </c>
      <c r="I52" t="str">
        <f t="shared" si="10"/>
        <v>1</v>
      </c>
      <c r="J52" t="str">
        <f t="shared" si="10"/>
        <v>0</v>
      </c>
      <c r="K52" t="str">
        <f t="shared" si="10"/>
        <v>.</v>
      </c>
      <c r="L52" t="str">
        <f t="shared" si="10"/>
        <v>0</v>
      </c>
      <c r="M52" t="str">
        <f t="shared" si="10"/>
        <v>0</v>
      </c>
      <c r="N52" t="str">
        <f t="shared" si="10"/>
        <v>1</v>
      </c>
      <c r="O52" t="str">
        <f t="shared" si="10"/>
        <v>1</v>
      </c>
      <c r="P52" t="str">
        <f t="shared" si="10"/>
        <v>.</v>
      </c>
      <c r="Q52" t="str">
        <f t="shared" si="10"/>
        <v>0</v>
      </c>
      <c r="R52" t="str">
        <f t="shared" si="10"/>
        <v>0</v>
      </c>
      <c r="S52" t="str">
        <f t="shared" si="10"/>
        <v>1</v>
      </c>
      <c r="T52" t="str">
        <f t="shared" si="10"/>
        <v>0</v>
      </c>
      <c r="U52" t="str">
        <f t="shared" si="10"/>
        <v>.</v>
      </c>
      <c r="V52" t="str">
        <f t="shared" si="10"/>
        <v>1</v>
      </c>
      <c r="W52" t="str">
        <f t="shared" si="10"/>
        <v>0</v>
      </c>
      <c r="X52" t="str">
        <f t="shared" si="10"/>
        <v>1</v>
      </c>
      <c r="Y52" t="str">
        <f t="shared" si="10"/>
        <v>1</v>
      </c>
      <c r="AD52" t="s">
        <v>47</v>
      </c>
      <c r="AE52" t="s">
        <v>71</v>
      </c>
      <c r="AG52">
        <f>C13</f>
        <v>-23765</v>
      </c>
      <c r="AI52" s="11"/>
    </row>
    <row r="53" spans="4:35" ht="13.8">
      <c r="E53" t="s">
        <v>50</v>
      </c>
      <c r="F53" t="s">
        <v>50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51</v>
      </c>
      <c r="AC53" s="5" t="s">
        <v>52</v>
      </c>
      <c r="AE53" t="s">
        <v>53</v>
      </c>
      <c r="AF53" t="s">
        <v>54</v>
      </c>
      <c r="AG53" t="s">
        <v>55</v>
      </c>
      <c r="AI53" s="11"/>
    </row>
    <row r="54" spans="4:35">
      <c r="G54">
        <f>MOD(G51+G52+H55,2)</f>
        <v>0</v>
      </c>
      <c r="H54">
        <f>MOD(H51+H52+I55,2)</f>
        <v>1</v>
      </c>
      <c r="I54">
        <f>MOD(I51+I52+J55,2)</f>
        <v>0</v>
      </c>
      <c r="J54">
        <f>MOD(J51+J52+K55,2)</f>
        <v>1</v>
      </c>
      <c r="K54" t="s">
        <v>0</v>
      </c>
      <c r="L54">
        <f>MOD(L51+L52+M55,2)</f>
        <v>0</v>
      </c>
      <c r="M54">
        <f>MOD(M51+M52+N55,2)</f>
        <v>0</v>
      </c>
      <c r="N54">
        <f>MOD(N51+N52+O55,2)</f>
        <v>1</v>
      </c>
      <c r="O54">
        <f>MOD(O51+O52+P55,2)</f>
        <v>1</v>
      </c>
      <c r="P54" t="s">
        <v>0</v>
      </c>
      <c r="Q54">
        <f>MOD(Q51+Q52+R55,2)</f>
        <v>0</v>
      </c>
      <c r="R54">
        <f>MOD(R51+R52+S55,2)</f>
        <v>1</v>
      </c>
      <c r="S54">
        <f>MOD(S51+S52+T55,2)</f>
        <v>0</v>
      </c>
      <c r="T54">
        <f>MOD(T51+T52+U55,2)</f>
        <v>0</v>
      </c>
      <c r="U54" t="s">
        <v>0</v>
      </c>
      <c r="V54">
        <f>MOD(V51+V52+W55,2)</f>
        <v>0</v>
      </c>
      <c r="W54">
        <f>MOD(W51+W52+X55,2)</f>
        <v>0</v>
      </c>
      <c r="X54">
        <f>MOD(X51+X52+Y55,2)</f>
        <v>0</v>
      </c>
      <c r="Y54">
        <f>MOD(Y51+Y52+Z55,2)</f>
        <v>1</v>
      </c>
      <c r="Z54" t="s">
        <v>56</v>
      </c>
      <c r="AA54">
        <f>IF(G54=1,-1*(32768  - (H54*POWER(2,14)+I54*POWER(2,13)+J54*POWER(2,12)+L54*POWER(2,11)+M54*POWER(2,10)+N54*POWER(2,9)+O54*POWER(2,8)+Q54*POWER(2,7)+R54*POWER(2,6)+S54*POWER(2,5)+T54*POWER(2,4)+V54*POWER(2,3)+W54*POWER(2,2)+X54*POWER(2,1)+Y54*POWER(2,0))),H54*POWER(2,14)+I54*POWER(2,13)+J54*POWER(2,12)+L54*POWER(2,11)+M54*POWER(2,10)+N54*POWER(2,9)+O54*POWER(2,8)+Q54*POWER(2,7)+R54*POWER(2,6)+S54*POWER(2,5)+T54*POWER(2,4)+V54*POWER(2,3)+W54*POWER(2,2)+X54*POWER(2,1)+Y54*POWER(2,0))</f>
        <v>21313</v>
      </c>
      <c r="AB54" t="s">
        <v>57</v>
      </c>
      <c r="AG54">
        <f>AG51+AG52</f>
        <v>-44223</v>
      </c>
      <c r="AH54" t="s">
        <v>57</v>
      </c>
      <c r="AI54" s="11"/>
    </row>
    <row r="55" spans="4:35">
      <c r="G55">
        <f>IF(G51+G52+H55&lt;=1,0,1)</f>
        <v>1</v>
      </c>
      <c r="H55">
        <f>IF(H51+H52+I55&lt;=1,0,1)</f>
        <v>0</v>
      </c>
      <c r="I55">
        <f>IF(I51+I52+J55&lt;=1,0,1)</f>
        <v>1</v>
      </c>
      <c r="J55">
        <f>IF(J51+J52+K55&lt;=1,0,1)</f>
        <v>0</v>
      </c>
      <c r="K55">
        <f>IF(L51+L52+M55&lt;=1,0,1)</f>
        <v>0</v>
      </c>
      <c r="L55">
        <f>IF(L51+L52+M55&lt;=1,0,1)</f>
        <v>0</v>
      </c>
      <c r="M55">
        <f>IF(M51+M52+N55&lt;=1,0,1)</f>
        <v>0</v>
      </c>
      <c r="N55">
        <f>IF(N51+N52+O55&lt;=1,0,1)</f>
        <v>0</v>
      </c>
      <c r="O55">
        <f>IF(O51+O52+P55&lt;=1,0,1)</f>
        <v>0</v>
      </c>
      <c r="P55">
        <f>IF(Q51+Q52+R55&lt;=1,0,1)</f>
        <v>0</v>
      </c>
      <c r="Q55">
        <f>IF(Q51+Q52+R55&lt;=1,0,1)</f>
        <v>0</v>
      </c>
      <c r="R55">
        <f>IF(R51+R52+S55&lt;=1,0,1)</f>
        <v>0</v>
      </c>
      <c r="S55">
        <f>IF(S51+S52+T55&lt;=1,0,1)</f>
        <v>1</v>
      </c>
      <c r="T55">
        <f>IF(T51+T52+U55&lt;=1,0,1)</f>
        <v>1</v>
      </c>
      <c r="U55">
        <f>IF(V51+V52+W55&lt;=1,0,1)</f>
        <v>1</v>
      </c>
      <c r="V55">
        <f>IF(V51+V52+W55&lt;=1,0,1)</f>
        <v>1</v>
      </c>
      <c r="W55">
        <f>IF(W51+W52+X55&lt;=1,0,1)</f>
        <v>1</v>
      </c>
      <c r="X55">
        <f>IF(X51+X52+Y55&lt;=1,0,1)</f>
        <v>1</v>
      </c>
      <c r="Y55">
        <f>IF(Y51+Y52+Z55&lt;=1,0,1)</f>
        <v>0</v>
      </c>
      <c r="Z55">
        <v>0</v>
      </c>
      <c r="AI55" s="11"/>
    </row>
    <row r="57" spans="4:35">
      <c r="G57" s="7" t="s">
        <v>58</v>
      </c>
      <c r="H57" s="7"/>
      <c r="I57" s="7"/>
      <c r="J57">
        <f>G55</f>
        <v>1</v>
      </c>
      <c r="K57" s="7"/>
      <c r="L57" s="7" t="s">
        <v>59</v>
      </c>
      <c r="M57" s="7"/>
      <c r="N57" s="7"/>
      <c r="O57" s="7">
        <f>IF(MOD(COUNTIF(Q54:Y54,1),2)=0,1,0)</f>
        <v>1</v>
      </c>
      <c r="Q57" s="7" t="s">
        <v>60</v>
      </c>
      <c r="R57" s="7"/>
      <c r="S57" s="7"/>
      <c r="T57">
        <f>U55</f>
        <v>1</v>
      </c>
      <c r="V57" s="7" t="s">
        <v>61</v>
      </c>
      <c r="W57" s="7"/>
      <c r="X57" s="7"/>
      <c r="Y57">
        <f>IF(COUNTIF(G54:Y54,1)=0,1,0)</f>
        <v>0</v>
      </c>
      <c r="AA57" s="7" t="s">
        <v>62</v>
      </c>
      <c r="AB57" s="6">
        <f>G54</f>
        <v>0</v>
      </c>
      <c r="AC57" t="s">
        <v>63</v>
      </c>
      <c r="AD57">
        <f>IF(_xlfn.XOR(H55,G55),1,0)</f>
        <v>1</v>
      </c>
    </row>
    <row r="58" spans="4:35" ht="13.2" customHeight="1"/>
    <row r="59" spans="4:35" ht="52.8">
      <c r="E59" t="s">
        <v>45</v>
      </c>
      <c r="G59" t="str">
        <f t="shared" ref="G59:Y59" si="11">G5</f>
        <v>0</v>
      </c>
      <c r="H59" t="str">
        <f t="shared" si="11"/>
        <v>0</v>
      </c>
      <c r="I59" t="str">
        <f t="shared" si="11"/>
        <v>0</v>
      </c>
      <c r="J59" t="str">
        <f t="shared" si="11"/>
        <v>0</v>
      </c>
      <c r="K59" t="str">
        <f t="shared" si="11"/>
        <v>.</v>
      </c>
      <c r="L59" t="str">
        <f t="shared" si="11"/>
        <v>1</v>
      </c>
      <c r="M59" t="str">
        <f t="shared" si="11"/>
        <v>1</v>
      </c>
      <c r="N59" t="str">
        <f t="shared" si="11"/>
        <v>0</v>
      </c>
      <c r="O59" t="str">
        <f t="shared" si="11"/>
        <v>0</v>
      </c>
      <c r="P59" t="str">
        <f t="shared" si="11"/>
        <v>.</v>
      </c>
      <c r="Q59" t="str">
        <f t="shared" si="11"/>
        <v>1</v>
      </c>
      <c r="R59" t="str">
        <f t="shared" si="11"/>
        <v>1</v>
      </c>
      <c r="S59" t="str">
        <f t="shared" si="11"/>
        <v>1</v>
      </c>
      <c r="T59" t="str">
        <f t="shared" si="11"/>
        <v>0</v>
      </c>
      <c r="U59" t="str">
        <f t="shared" si="11"/>
        <v>.</v>
      </c>
      <c r="V59" t="str">
        <f t="shared" si="11"/>
        <v>1</v>
      </c>
      <c r="W59" t="str">
        <f t="shared" si="11"/>
        <v>0</v>
      </c>
      <c r="X59" t="str">
        <f t="shared" si="11"/>
        <v>1</v>
      </c>
      <c r="Y59" t="str">
        <f t="shared" si="11"/>
        <v>1</v>
      </c>
      <c r="AE59" t="s">
        <v>46</v>
      </c>
      <c r="AG59">
        <f>C5</f>
        <v>3307</v>
      </c>
      <c r="AI59" s="11" t="str">
        <f>VLOOKUP(IF(AND(AG59&gt;0,AG60&gt;0),IF(AA62&gt;0,1,2),IF(AND(AG59&lt;0,AG60&lt;0),IF(AA62&lt;0,5,6),IF(AA62&gt;0,4,3))),Комментарии!A1:B6,2,0)</f>
        <v>При сложении положительного и отрицательного слагаемых
получено отрицательное число.
Результат выполнения операции верный и корректный,
совпадает с суммой десятичных эквивалентов.</v>
      </c>
    </row>
    <row r="60" spans="4:35">
      <c r="D60" t="s">
        <v>47</v>
      </c>
      <c r="E60" t="s">
        <v>68</v>
      </c>
      <c r="G60" t="str">
        <f t="shared" ref="G60:Y60" si="12">G12</f>
        <v>1</v>
      </c>
      <c r="H60" t="str">
        <f t="shared" si="12"/>
        <v>0</v>
      </c>
      <c r="I60" t="str">
        <f t="shared" si="12"/>
        <v>1</v>
      </c>
      <c r="J60" t="str">
        <f t="shared" si="12"/>
        <v>1</v>
      </c>
      <c r="K60" t="str">
        <f t="shared" si="12"/>
        <v>.</v>
      </c>
      <c r="L60" t="str">
        <f t="shared" si="12"/>
        <v>0</v>
      </c>
      <c r="M60" t="str">
        <f t="shared" si="12"/>
        <v>0</v>
      </c>
      <c r="N60" t="str">
        <f t="shared" si="12"/>
        <v>0</v>
      </c>
      <c r="O60" t="str">
        <f t="shared" si="12"/>
        <v>0</v>
      </c>
      <c r="P60" t="str">
        <f t="shared" si="12"/>
        <v>.</v>
      </c>
      <c r="Q60" t="str">
        <f t="shared" si="12"/>
        <v>0</v>
      </c>
      <c r="R60" t="str">
        <f t="shared" si="12"/>
        <v>0</v>
      </c>
      <c r="S60" t="str">
        <f t="shared" si="12"/>
        <v>0</v>
      </c>
      <c r="T60" t="str">
        <f t="shared" si="12"/>
        <v>1</v>
      </c>
      <c r="U60" t="str">
        <f t="shared" si="12"/>
        <v>.</v>
      </c>
      <c r="V60" t="str">
        <f t="shared" si="12"/>
        <v>0</v>
      </c>
      <c r="W60" t="str">
        <f t="shared" si="12"/>
        <v>1</v>
      </c>
      <c r="X60" t="str">
        <f t="shared" si="12"/>
        <v>1</v>
      </c>
      <c r="Y60" t="str">
        <f t="shared" si="12"/>
        <v>0</v>
      </c>
      <c r="AD60" t="s">
        <v>47</v>
      </c>
      <c r="AE60" t="s">
        <v>69</v>
      </c>
      <c r="AG60">
        <f>C12</f>
        <v>-20458</v>
      </c>
      <c r="AI60" s="11"/>
    </row>
    <row r="61" spans="4:35" ht="13.8">
      <c r="E61" t="s">
        <v>50</v>
      </c>
      <c r="F61" t="s">
        <v>50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51</v>
      </c>
      <c r="Y61" t="s">
        <v>51</v>
      </c>
      <c r="AC61" s="5" t="s">
        <v>52</v>
      </c>
      <c r="AE61" t="s">
        <v>53</v>
      </c>
      <c r="AF61" t="s">
        <v>54</v>
      </c>
      <c r="AG61" t="s">
        <v>55</v>
      </c>
      <c r="AI61" s="11"/>
    </row>
    <row r="62" spans="4:35">
      <c r="G62">
        <f>MOD(G59+G60+H63,2)</f>
        <v>1</v>
      </c>
      <c r="H62">
        <f>MOD(H59+H60+I63,2)</f>
        <v>0</v>
      </c>
      <c r="I62">
        <f>MOD(I59+I60+J63,2)</f>
        <v>1</v>
      </c>
      <c r="J62">
        <f>MOD(J59+J60+K63,2)</f>
        <v>1</v>
      </c>
      <c r="K62" t="s">
        <v>0</v>
      </c>
      <c r="L62">
        <f>MOD(L59+L60+M63,2)</f>
        <v>1</v>
      </c>
      <c r="M62">
        <f>MOD(M59+M60+N63,2)</f>
        <v>1</v>
      </c>
      <c r="N62">
        <f>MOD(N59+N60+O63,2)</f>
        <v>0</v>
      </c>
      <c r="O62">
        <f>MOD(O59+O60+P63,2)</f>
        <v>1</v>
      </c>
      <c r="P62" t="s">
        <v>0</v>
      </c>
      <c r="Q62">
        <f>MOD(Q59+Q60+R63,2)</f>
        <v>0</v>
      </c>
      <c r="R62">
        <f>MOD(R59+R60+S63,2)</f>
        <v>0</v>
      </c>
      <c r="S62">
        <f>MOD(S59+S60+T63,2)</f>
        <v>0</v>
      </c>
      <c r="T62">
        <f>MOD(T59+T60+U63,2)</f>
        <v>0</v>
      </c>
      <c r="U62" t="s">
        <v>0</v>
      </c>
      <c r="V62">
        <f>MOD(V59+V60+W63,2)</f>
        <v>0</v>
      </c>
      <c r="W62">
        <f>MOD(W59+W60+X63,2)</f>
        <v>0</v>
      </c>
      <c r="X62">
        <f>MOD(X59+X60+Y63,2)</f>
        <v>0</v>
      </c>
      <c r="Y62">
        <f>MOD(Y59+Y60+Z63,2)</f>
        <v>1</v>
      </c>
      <c r="Z62" t="s">
        <v>56</v>
      </c>
      <c r="AA62">
        <f>IF(G62=1,-1*(32768  - (H62*POWER(2,14)+I62*POWER(2,13)+J62*POWER(2,12)+L62*POWER(2,11)+M62*POWER(2,10)+N62*POWER(2,9)+O62*POWER(2,8)+Q62*POWER(2,7)+R62*POWER(2,6)+S62*POWER(2,5)+T62*POWER(2,4)+V62*POWER(2,3)+W62*POWER(2,2)+X62*POWER(2,1)+Y62*POWER(2,0))),H62*POWER(2,14)+I62*POWER(2,13)+J62*POWER(2,12)+L62*POWER(2,11)+M62*POWER(2,10)+N62*POWER(2,9)+O62*POWER(2,8)+Q62*POWER(2,7)+R62*POWER(2,6)+S62*POWER(2,5)+T62*POWER(2,4)+V62*POWER(2,3)+W62*POWER(2,2)+X62*POWER(2,1)+Y62*POWER(2,0))</f>
        <v>-17151</v>
      </c>
      <c r="AB62" t="s">
        <v>57</v>
      </c>
      <c r="AG62">
        <f>AG59+AG60</f>
        <v>-17151</v>
      </c>
      <c r="AH62" t="s">
        <v>57</v>
      </c>
      <c r="AI62" s="11"/>
    </row>
    <row r="63" spans="4:35">
      <c r="G63">
        <f>IF(G59+G60+H63&lt;=1,0,1)</f>
        <v>0</v>
      </c>
      <c r="H63">
        <f>IF(H59+H60+I63&lt;=1,0,1)</f>
        <v>0</v>
      </c>
      <c r="I63">
        <f>IF(I59+I60+J63&lt;=1,0,1)</f>
        <v>0</v>
      </c>
      <c r="J63">
        <f>IF(J59+J60+K63&lt;=1,0,1)</f>
        <v>0</v>
      </c>
      <c r="K63">
        <f>IF(L59+L60+M63&lt;=1,0,1)</f>
        <v>0</v>
      </c>
      <c r="L63">
        <f>IF(L59+L60+M63&lt;=1,0,1)</f>
        <v>0</v>
      </c>
      <c r="M63">
        <f>IF(M59+M60+N63&lt;=1,0,1)</f>
        <v>0</v>
      </c>
      <c r="N63">
        <f>IF(N59+N60+O63&lt;=1,0,1)</f>
        <v>0</v>
      </c>
      <c r="O63">
        <f>IF(O59+O60+P63&lt;=1,0,1)</f>
        <v>0</v>
      </c>
      <c r="P63">
        <f>IF(Q59+Q60+R63&lt;=1,0,1)</f>
        <v>1</v>
      </c>
      <c r="Q63">
        <f>IF(Q59+Q60+R63&lt;=1,0,1)</f>
        <v>1</v>
      </c>
      <c r="R63">
        <f>IF(R59+R60+S63&lt;=1,0,1)</f>
        <v>1</v>
      </c>
      <c r="S63">
        <f>IF(S59+S60+T63&lt;=1,0,1)</f>
        <v>1</v>
      </c>
      <c r="T63">
        <f>IF(T59+T60+U63&lt;=1,0,1)</f>
        <v>1</v>
      </c>
      <c r="U63">
        <f>IF(V59+V60+W63&lt;=1,0,1)</f>
        <v>1</v>
      </c>
      <c r="V63">
        <f>IF(V59+V60+W63&lt;=1,0,1)</f>
        <v>1</v>
      </c>
      <c r="W63">
        <f>IF(W59+W60+X63&lt;=1,0,1)</f>
        <v>1</v>
      </c>
      <c r="X63">
        <f>IF(X59+X60+Y63&lt;=1,0,1)</f>
        <v>1</v>
      </c>
      <c r="Y63">
        <f>IF(Y59+Y60+Z63&lt;=1,0,1)</f>
        <v>0</v>
      </c>
      <c r="Z63">
        <v>0</v>
      </c>
      <c r="AI63" s="11"/>
    </row>
    <row r="65" spans="4:35">
      <c r="G65" s="7" t="s">
        <v>58</v>
      </c>
      <c r="H65" s="7"/>
      <c r="I65" s="7"/>
      <c r="J65">
        <f>G63</f>
        <v>0</v>
      </c>
      <c r="K65" s="7"/>
      <c r="L65" s="7" t="s">
        <v>59</v>
      </c>
      <c r="M65" s="7"/>
      <c r="N65" s="7"/>
      <c r="O65" s="7">
        <f>IF(MOD(COUNTIF(Q62:Y62,1),2)=0,1,0)</f>
        <v>0</v>
      </c>
      <c r="Q65" s="7" t="s">
        <v>60</v>
      </c>
      <c r="R65" s="7"/>
      <c r="S65" s="7"/>
      <c r="T65">
        <f>U63</f>
        <v>1</v>
      </c>
      <c r="V65" s="7" t="s">
        <v>61</v>
      </c>
      <c r="W65" s="7"/>
      <c r="X65" s="7"/>
      <c r="Y65">
        <f>IF(COUNTIF(G62:Y62,1)=0,1,0)</f>
        <v>0</v>
      </c>
      <c r="AA65" s="7" t="s">
        <v>62</v>
      </c>
      <c r="AB65" s="6">
        <f>G62</f>
        <v>1</v>
      </c>
      <c r="AC65" t="s">
        <v>63</v>
      </c>
      <c r="AD65">
        <f>IF(_xlfn.XOR(H63,G63),1,0)</f>
        <v>0</v>
      </c>
    </row>
    <row r="66" spans="4:35" ht="13.2" customHeight="1"/>
    <row r="67" spans="4:35" ht="66">
      <c r="E67" t="s">
        <v>72</v>
      </c>
      <c r="G67" t="str">
        <f t="shared" ref="G67:Y67" si="13">G15</f>
        <v>1</v>
      </c>
      <c r="H67" t="str">
        <f t="shared" si="13"/>
        <v>0</v>
      </c>
      <c r="I67" t="str">
        <f t="shared" si="13"/>
        <v>1</v>
      </c>
      <c r="J67" t="str">
        <f t="shared" si="13"/>
        <v>1</v>
      </c>
      <c r="K67" t="str">
        <f t="shared" si="13"/>
        <v>.</v>
      </c>
      <c r="L67" t="str">
        <f t="shared" si="13"/>
        <v>1</v>
      </c>
      <c r="M67" t="str">
        <f t="shared" si="13"/>
        <v>1</v>
      </c>
      <c r="N67" t="str">
        <f t="shared" si="13"/>
        <v>0</v>
      </c>
      <c r="O67" t="str">
        <f t="shared" si="13"/>
        <v>1</v>
      </c>
      <c r="P67" t="str">
        <f t="shared" si="13"/>
        <v>.</v>
      </c>
      <c r="Q67" t="str">
        <f t="shared" si="13"/>
        <v>0</v>
      </c>
      <c r="R67" t="str">
        <f t="shared" si="13"/>
        <v>0</v>
      </c>
      <c r="S67" t="str">
        <f t="shared" si="13"/>
        <v>0</v>
      </c>
      <c r="T67" t="str">
        <f t="shared" si="13"/>
        <v>0</v>
      </c>
      <c r="U67" t="str">
        <f t="shared" si="13"/>
        <v>.</v>
      </c>
      <c r="V67" t="str">
        <f t="shared" si="13"/>
        <v>0</v>
      </c>
      <c r="W67" t="str">
        <f t="shared" si="13"/>
        <v>0</v>
      </c>
      <c r="X67" t="str">
        <f t="shared" si="13"/>
        <v>0</v>
      </c>
      <c r="Y67" t="str">
        <f t="shared" si="13"/>
        <v>1</v>
      </c>
      <c r="AE67" t="s">
        <v>73</v>
      </c>
      <c r="AG67">
        <f>C15</f>
        <v>-17151</v>
      </c>
      <c r="AI67" s="11" t="str">
        <f>VLOOKUP(IF(AND(AG67&gt;0,AG68&gt;0),IF(AA70&gt;0,1,2),IF(AND(AG67&lt;0,AG68&lt;0),IF(AA70&lt;0,5,6),IF(AA70&gt;0,4,3))),Комментарии!A1:B6,2,0)</f>
        <v>При сложении положительного и отрицательного слагаемых
получено положительное число.
Перенос из старшего разряда не учитывается.
Результат выполнения операции верный и корректный,
совпадает с суммой десятичных эквивалентов.</v>
      </c>
    </row>
    <row r="68" spans="4:35">
      <c r="D68" t="s">
        <v>47</v>
      </c>
      <c r="E68" t="s">
        <v>64</v>
      </c>
      <c r="G68" t="str">
        <f t="shared" ref="G68:Y68" si="14">G7</f>
        <v>0</v>
      </c>
      <c r="H68" t="str">
        <f t="shared" si="14"/>
        <v>1</v>
      </c>
      <c r="I68" t="str">
        <f t="shared" si="14"/>
        <v>0</v>
      </c>
      <c r="J68" t="str">
        <f t="shared" si="14"/>
        <v>1</v>
      </c>
      <c r="K68" t="str">
        <f t="shared" si="14"/>
        <v>.</v>
      </c>
      <c r="L68" t="str">
        <f t="shared" si="14"/>
        <v>1</v>
      </c>
      <c r="M68" t="str">
        <f t="shared" si="14"/>
        <v>1</v>
      </c>
      <c r="N68" t="str">
        <f t="shared" si="14"/>
        <v>0</v>
      </c>
      <c r="O68" t="str">
        <f t="shared" si="14"/>
        <v>0</v>
      </c>
      <c r="P68" t="str">
        <f t="shared" si="14"/>
        <v>.</v>
      </c>
      <c r="Q68" t="str">
        <f t="shared" si="14"/>
        <v>1</v>
      </c>
      <c r="R68" t="str">
        <f t="shared" si="14"/>
        <v>1</v>
      </c>
      <c r="S68" t="str">
        <f t="shared" si="14"/>
        <v>0</v>
      </c>
      <c r="T68" t="str">
        <f t="shared" si="14"/>
        <v>1</v>
      </c>
      <c r="U68" t="str">
        <f t="shared" si="14"/>
        <v>.</v>
      </c>
      <c r="V68" t="str">
        <f t="shared" si="14"/>
        <v>0</v>
      </c>
      <c r="W68" t="str">
        <f t="shared" si="14"/>
        <v>1</v>
      </c>
      <c r="X68" t="str">
        <f t="shared" si="14"/>
        <v>0</v>
      </c>
      <c r="Y68" t="str">
        <f t="shared" si="14"/>
        <v>1</v>
      </c>
      <c r="AD68" t="s">
        <v>47</v>
      </c>
      <c r="AE68" t="s">
        <v>65</v>
      </c>
      <c r="AG68">
        <f>C7</f>
        <v>23765</v>
      </c>
      <c r="AI68" s="11"/>
    </row>
    <row r="69" spans="4:35" ht="13.8">
      <c r="E69" t="s">
        <v>50</v>
      </c>
      <c r="F69" t="s">
        <v>50</v>
      </c>
      <c r="G69" t="s">
        <v>51</v>
      </c>
      <c r="H69" t="s">
        <v>51</v>
      </c>
      <c r="I69" t="s">
        <v>51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AC69" s="5" t="s">
        <v>52</v>
      </c>
      <c r="AE69" t="s">
        <v>53</v>
      </c>
      <c r="AF69" t="s">
        <v>54</v>
      </c>
      <c r="AG69" t="s">
        <v>55</v>
      </c>
      <c r="AI69" s="11"/>
    </row>
    <row r="70" spans="4:35">
      <c r="G70">
        <f>MOD(G67+G68+H71,2)</f>
        <v>0</v>
      </c>
      <c r="H70">
        <f>MOD(H67+H68+I71,2)</f>
        <v>0</v>
      </c>
      <c r="I70">
        <f>MOD(I67+I68+J71,2)</f>
        <v>0</v>
      </c>
      <c r="J70">
        <f>MOD(J67+J68+K71,2)</f>
        <v>1</v>
      </c>
      <c r="K70" t="s">
        <v>0</v>
      </c>
      <c r="L70">
        <f>MOD(L67+L68+M71,2)</f>
        <v>1</v>
      </c>
      <c r="M70">
        <f>MOD(M67+M68+N71,2)</f>
        <v>0</v>
      </c>
      <c r="N70">
        <f>MOD(N67+N68+O71,2)</f>
        <v>0</v>
      </c>
      <c r="O70">
        <f>MOD(O67+O68+P71,2)</f>
        <v>1</v>
      </c>
      <c r="P70" t="s">
        <v>0</v>
      </c>
      <c r="Q70">
        <f>MOD(Q67+Q68+R71,2)</f>
        <v>1</v>
      </c>
      <c r="R70">
        <f>MOD(R67+R68+S71,2)</f>
        <v>1</v>
      </c>
      <c r="S70">
        <f>MOD(S67+S68+T71,2)</f>
        <v>0</v>
      </c>
      <c r="T70">
        <f>MOD(T67+T68+U71,2)</f>
        <v>1</v>
      </c>
      <c r="U70" t="s">
        <v>0</v>
      </c>
      <c r="V70">
        <f>MOD(V67+V68+W71,2)</f>
        <v>0</v>
      </c>
      <c r="W70">
        <f>MOD(W67+W68+X71,2)</f>
        <v>1</v>
      </c>
      <c r="X70">
        <f>MOD(X67+X68+Y71,2)</f>
        <v>1</v>
      </c>
      <c r="Y70">
        <f>MOD(Y67+Y68+Z71,2)</f>
        <v>0</v>
      </c>
      <c r="Z70" t="s">
        <v>56</v>
      </c>
      <c r="AA70">
        <f>IF(G70=1,-1*(32768  - (H70*POWER(2,14)+I70*POWER(2,13)+J70*POWER(2,12)+L70*POWER(2,11)+M70*POWER(2,10)+N70*POWER(2,9)+O70*POWER(2,8)+Q70*POWER(2,7)+R70*POWER(2,6)+S70*POWER(2,5)+T70*POWER(2,4)+V70*POWER(2,3)+W70*POWER(2,2)+X70*POWER(2,1)+Y70*POWER(2,0))),H70*POWER(2,14)+I70*POWER(2,13)+J70*POWER(2,12)+L70*POWER(2,11)+M70*POWER(2,10)+N70*POWER(2,9)+O70*POWER(2,8)+Q70*POWER(2,7)+R70*POWER(2,6)+S70*POWER(2,5)+T70*POWER(2,4)+V70*POWER(2,3)+W70*POWER(2,2)+X70*POWER(2,1)+Y70*POWER(2,0))</f>
        <v>6614</v>
      </c>
      <c r="AB70" t="s">
        <v>57</v>
      </c>
      <c r="AG70">
        <f>AG67+AG68</f>
        <v>6614</v>
      </c>
      <c r="AH70" t="s">
        <v>57</v>
      </c>
      <c r="AI70" s="11"/>
    </row>
    <row r="71" spans="4:35">
      <c r="G71">
        <f>IF(G67+G68+H71&lt;=1,0,1)</f>
        <v>1</v>
      </c>
      <c r="H71">
        <f>IF(H67+H68+I71&lt;=1,0,1)</f>
        <v>1</v>
      </c>
      <c r="I71">
        <f>IF(I67+I68+J71&lt;=1,0,1)</f>
        <v>1</v>
      </c>
      <c r="J71">
        <f>IF(J67+J68+K71&lt;=1,0,1)</f>
        <v>1</v>
      </c>
      <c r="K71">
        <f>IF(L67+L68+M71&lt;=1,0,1)</f>
        <v>1</v>
      </c>
      <c r="L71">
        <f>IF(L67+L68+M71&lt;=1,0,1)</f>
        <v>1</v>
      </c>
      <c r="M71">
        <f>IF(M67+M68+N71&lt;=1,0,1)</f>
        <v>1</v>
      </c>
      <c r="N71">
        <f>IF(N67+N68+O71&lt;=1,0,1)</f>
        <v>0</v>
      </c>
      <c r="O71">
        <f>IF(O67+O68+P71&lt;=1,0,1)</f>
        <v>0</v>
      </c>
      <c r="P71">
        <f>IF(Q67+Q68+R71&lt;=1,0,1)</f>
        <v>0</v>
      </c>
      <c r="Q71">
        <f>IF(Q67+Q68+R71&lt;=1,0,1)</f>
        <v>0</v>
      </c>
      <c r="R71">
        <f>IF(R67+R68+S71&lt;=1,0,1)</f>
        <v>0</v>
      </c>
      <c r="S71">
        <f>IF(S67+S68+T71&lt;=1,0,1)</f>
        <v>0</v>
      </c>
      <c r="T71">
        <f>IF(T67+T68+U71&lt;=1,0,1)</f>
        <v>0</v>
      </c>
      <c r="U71">
        <f>IF(V67+V68+W71&lt;=1,0,1)</f>
        <v>0</v>
      </c>
      <c r="V71">
        <f>IF(V67+V68+W71&lt;=1,0,1)</f>
        <v>0</v>
      </c>
      <c r="W71">
        <f>IF(W67+W68+X71&lt;=1,0,1)</f>
        <v>0</v>
      </c>
      <c r="X71">
        <f>IF(X67+X68+Y71&lt;=1,0,1)</f>
        <v>0</v>
      </c>
      <c r="Y71">
        <f>IF(Y67+Y68+Z71&lt;=1,0,1)</f>
        <v>1</v>
      </c>
      <c r="Z71">
        <v>0</v>
      </c>
      <c r="AI71" s="11"/>
    </row>
    <row r="73" spans="4:35">
      <c r="G73" s="7" t="s">
        <v>58</v>
      </c>
      <c r="H73" s="7"/>
      <c r="I73" s="7"/>
      <c r="J73">
        <f>G71</f>
        <v>1</v>
      </c>
      <c r="K73" s="7"/>
      <c r="L73" s="7" t="s">
        <v>59</v>
      </c>
      <c r="M73" s="7"/>
      <c r="N73" s="7"/>
      <c r="O73" s="7">
        <f>IF(MOD(COUNTIF(Q70:Y70,1),2)=0,1,0)</f>
        <v>0</v>
      </c>
      <c r="Q73" s="7" t="s">
        <v>60</v>
      </c>
      <c r="R73" s="7"/>
      <c r="S73" s="7"/>
      <c r="T73">
        <f>U71</f>
        <v>0</v>
      </c>
      <c r="V73" s="7" t="s">
        <v>61</v>
      </c>
      <c r="W73" s="7"/>
      <c r="X73" s="7"/>
      <c r="Y73">
        <f>IF(COUNTIF(G70:Y70,1)=0,1,0)</f>
        <v>0</v>
      </c>
      <c r="AA73" s="7" t="s">
        <v>62</v>
      </c>
      <c r="AB73" s="6">
        <f>G70</f>
        <v>0</v>
      </c>
      <c r="AC73" t="s">
        <v>63</v>
      </c>
      <c r="AD73">
        <f>IF(_xlfn.XOR(H71,G71),1,0)</f>
        <v>0</v>
      </c>
    </row>
  </sheetData>
  <pageMargins left="0" right="0" top="0.39370078740157483" bottom="0.39370078740157483" header="0" footer="0"/>
  <pageSetup paperSize="9" orientation="portrait" r:id="rId1"/>
  <headerFooter>
    <oddHeader>&amp;LСивков Александр Владимирович&amp;C35-ый вариант&amp;Rинфлаб5.xlsx</oddHeader>
    <oddFooter>&amp;C17.11.2025 13:10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5AA3-7D3E-4A71-9BA7-5BCF1D9C85F2}">
  <dimension ref="A1:B16"/>
  <sheetViews>
    <sheetView workbookViewId="0">
      <selection activeCell="D16" sqref="D16"/>
    </sheetView>
  </sheetViews>
  <sheetFormatPr defaultRowHeight="13.2"/>
  <cols>
    <col min="1" max="2" width="11.88671875" customWidth="1"/>
  </cols>
  <sheetData>
    <row r="1" spans="1:2">
      <c r="A1" s="6" t="str">
        <f>"0"</f>
        <v>0</v>
      </c>
      <c r="B1" s="6" t="str">
        <f>"0000"</f>
        <v>0000</v>
      </c>
    </row>
    <row r="2" spans="1:2">
      <c r="A2" s="6" t="str">
        <f>"1"</f>
        <v>1</v>
      </c>
      <c r="B2" s="6" t="str">
        <f>"0001"</f>
        <v>0001</v>
      </c>
    </row>
    <row r="3" spans="1:2">
      <c r="A3" s="6" t="str">
        <f>"2"</f>
        <v>2</v>
      </c>
      <c r="B3" s="6" t="str">
        <f>"0010"</f>
        <v>0010</v>
      </c>
    </row>
    <row r="4" spans="1:2">
      <c r="A4" s="6" t="str">
        <f>"3"</f>
        <v>3</v>
      </c>
      <c r="B4" s="6" t="str">
        <f>"0011"</f>
        <v>0011</v>
      </c>
    </row>
    <row r="5" spans="1:2">
      <c r="A5" s="6" t="str">
        <f>"4"</f>
        <v>4</v>
      </c>
      <c r="B5" s="6" t="str">
        <f>"0100"</f>
        <v>0100</v>
      </c>
    </row>
    <row r="6" spans="1:2">
      <c r="A6" s="6" t="str">
        <f>"5"</f>
        <v>5</v>
      </c>
      <c r="B6" s="6" t="str">
        <f>"0101"</f>
        <v>0101</v>
      </c>
    </row>
    <row r="7" spans="1:2">
      <c r="A7" s="6" t="str">
        <f>"6"</f>
        <v>6</v>
      </c>
      <c r="B7" s="6" t="str">
        <f>"0110"</f>
        <v>0110</v>
      </c>
    </row>
    <row r="8" spans="1:2">
      <c r="A8" s="6" t="str">
        <f>"7"</f>
        <v>7</v>
      </c>
      <c r="B8" s="6" t="str">
        <f>"0111"</f>
        <v>0111</v>
      </c>
    </row>
    <row r="9" spans="1:2">
      <c r="A9" s="6" t="str">
        <f>"8"</f>
        <v>8</v>
      </c>
      <c r="B9" s="6" t="str">
        <f>"1000"</f>
        <v>1000</v>
      </c>
    </row>
    <row r="10" spans="1:2">
      <c r="A10" s="6" t="str">
        <f>"9"</f>
        <v>9</v>
      </c>
      <c r="B10" s="6" t="str">
        <f>"1001"</f>
        <v>1001</v>
      </c>
    </row>
    <row r="11" spans="1:2">
      <c r="A11" s="6" t="str">
        <f>"A"</f>
        <v>A</v>
      </c>
      <c r="B11" s="6" t="str">
        <f>"1010"</f>
        <v>1010</v>
      </c>
    </row>
    <row r="12" spans="1:2">
      <c r="A12" s="6" t="str">
        <f>"B"</f>
        <v>B</v>
      </c>
      <c r="B12" s="6" t="str">
        <f>"1011"</f>
        <v>1011</v>
      </c>
    </row>
    <row r="13" spans="1:2">
      <c r="A13" s="6" t="str">
        <f>"C"</f>
        <v>C</v>
      </c>
      <c r="B13" s="6" t="str">
        <f>"1100"</f>
        <v>1100</v>
      </c>
    </row>
    <row r="14" spans="1:2">
      <c r="A14" s="6" t="str">
        <f>"D"</f>
        <v>D</v>
      </c>
      <c r="B14" s="6" t="str">
        <f>"1101"</f>
        <v>1101</v>
      </c>
    </row>
    <row r="15" spans="1:2">
      <c r="A15" s="6" t="str">
        <f>"E"</f>
        <v>E</v>
      </c>
      <c r="B15" s="6" t="str">
        <f>"1110"</f>
        <v>1110</v>
      </c>
    </row>
    <row r="16" spans="1:2">
      <c r="A16" s="6" t="str">
        <f>"F"</f>
        <v>F</v>
      </c>
      <c r="B16" s="6" t="str">
        <f>"1111"</f>
        <v>1111</v>
      </c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Комментарии</vt:lpstr>
      <vt:lpstr>Основное</vt:lpstr>
      <vt:lpstr>двоичные коды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Сивков</dc:creator>
  <cp:lastModifiedBy>Александр Сивков</cp:lastModifiedBy>
  <cp:revision>3</cp:revision>
  <dcterms:created xsi:type="dcterms:W3CDTF">2025-11-16T14:40:17Z</dcterms:created>
  <dcterms:modified xsi:type="dcterms:W3CDTF">2025-11-20T16:31:53Z</dcterms:modified>
</cp:coreProperties>
</file>